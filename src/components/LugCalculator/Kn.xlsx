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portfolio\src\components\LugCalculator\"/>
    </mc:Choice>
  </mc:AlternateContent>
  <xr:revisionPtr revIDLastSave="0" documentId="8_{EAB4BB81-F188-4794-8514-0F0F3D8A2511}" xr6:coauthVersionLast="47" xr6:coauthVersionMax="47" xr10:uidLastSave="{00000000-0000-0000-0000-000000000000}"/>
  <bookViews>
    <workbookView xWindow="0" yWindow="360" windowWidth="23232" windowHeight="12432" activeTab="2" xr2:uid="{B86692AA-6AD1-4F17-95A9-760893952109}"/>
  </bookViews>
  <sheets>
    <sheet name="Sheet1" sheetId="1" r:id="rId1"/>
    <sheet name="Sheet2" sheetId="2" r:id="rId2"/>
    <sheet name="Sheet3" sheetId="3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9" i="3" l="1"/>
  <c r="H29" i="3" s="1"/>
  <c r="B52" i="3" s="1"/>
  <c r="G69" i="3"/>
  <c r="H52" i="3"/>
  <c r="B30" i="3"/>
  <c r="H53" i="3" s="1"/>
  <c r="B31" i="3"/>
  <c r="H54" i="3" s="1"/>
  <c r="B32" i="3"/>
  <c r="H55" i="3" s="1"/>
  <c r="B33" i="3"/>
  <c r="H56" i="3" s="1"/>
  <c r="B34" i="3"/>
  <c r="H57" i="3" s="1"/>
  <c r="B35" i="3"/>
  <c r="H58" i="3" s="1"/>
  <c r="B36" i="3"/>
  <c r="H59" i="3" s="1"/>
  <c r="B37" i="3"/>
  <c r="H60" i="3" s="1"/>
  <c r="B38" i="3"/>
  <c r="H61" i="3" s="1"/>
  <c r="B39" i="3"/>
  <c r="H62" i="3" s="1"/>
  <c r="B40" i="3"/>
  <c r="H63" i="3" s="1"/>
  <c r="B41" i="3"/>
  <c r="H64" i="3" s="1"/>
  <c r="B42" i="3"/>
  <c r="H65" i="3" s="1"/>
  <c r="B43" i="3"/>
  <c r="H66" i="3" s="1"/>
  <c r="B44" i="3"/>
  <c r="H67" i="3" s="1"/>
  <c r="B45" i="3"/>
  <c r="H68" i="3" s="1"/>
  <c r="B46" i="3"/>
  <c r="H69" i="3" s="1"/>
  <c r="B47" i="3"/>
  <c r="H70" i="3" s="1"/>
  <c r="B48" i="3"/>
  <c r="H71" i="3" s="1"/>
  <c r="B49" i="3"/>
  <c r="H72" i="3" s="1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29" i="3"/>
  <c r="A52" i="3" s="1"/>
  <c r="C45" i="3"/>
  <c r="G68" i="3" s="1"/>
  <c r="D45" i="3"/>
  <c r="F68" i="3" s="1"/>
  <c r="E45" i="3"/>
  <c r="E68" i="3" s="1"/>
  <c r="F45" i="3"/>
  <c r="D68" i="3" s="1"/>
  <c r="G45" i="3"/>
  <c r="C68" i="3" s="1"/>
  <c r="H45" i="3"/>
  <c r="B68" i="3" s="1"/>
  <c r="C46" i="3"/>
  <c r="D46" i="3"/>
  <c r="F69" i="3" s="1"/>
  <c r="E46" i="3"/>
  <c r="E69" i="3" s="1"/>
  <c r="F46" i="3"/>
  <c r="D69" i="3" s="1"/>
  <c r="G46" i="3"/>
  <c r="C69" i="3" s="1"/>
  <c r="H46" i="3"/>
  <c r="B69" i="3" s="1"/>
  <c r="C47" i="3"/>
  <c r="G70" i="3" s="1"/>
  <c r="D47" i="3"/>
  <c r="F70" i="3" s="1"/>
  <c r="E47" i="3"/>
  <c r="E70" i="3" s="1"/>
  <c r="F47" i="3"/>
  <c r="D70" i="3" s="1"/>
  <c r="G47" i="3"/>
  <c r="C70" i="3" s="1"/>
  <c r="H47" i="3"/>
  <c r="B70" i="3" s="1"/>
  <c r="C48" i="3"/>
  <c r="G71" i="3" s="1"/>
  <c r="D48" i="3"/>
  <c r="F71" i="3" s="1"/>
  <c r="E48" i="3"/>
  <c r="E71" i="3" s="1"/>
  <c r="F48" i="3"/>
  <c r="D71" i="3" s="1"/>
  <c r="G48" i="3"/>
  <c r="C71" i="3" s="1"/>
  <c r="H48" i="3"/>
  <c r="B71" i="3" s="1"/>
  <c r="C49" i="3"/>
  <c r="G72" i="3" s="1"/>
  <c r="D49" i="3"/>
  <c r="F72" i="3" s="1"/>
  <c r="E49" i="3"/>
  <c r="E72" i="3" s="1"/>
  <c r="F49" i="3"/>
  <c r="D72" i="3" s="1"/>
  <c r="G49" i="3"/>
  <c r="C72" i="3" s="1"/>
  <c r="H49" i="3"/>
  <c r="B72" i="3" s="1"/>
  <c r="C39" i="3"/>
  <c r="G62" i="3" s="1"/>
  <c r="D39" i="3"/>
  <c r="F62" i="3" s="1"/>
  <c r="E39" i="3"/>
  <c r="E62" i="3" s="1"/>
  <c r="F39" i="3"/>
  <c r="D62" i="3" s="1"/>
  <c r="G39" i="3"/>
  <c r="C62" i="3" s="1"/>
  <c r="H39" i="3"/>
  <c r="B62" i="3" s="1"/>
  <c r="C40" i="3"/>
  <c r="G63" i="3" s="1"/>
  <c r="D40" i="3"/>
  <c r="F63" i="3" s="1"/>
  <c r="E40" i="3"/>
  <c r="E63" i="3" s="1"/>
  <c r="F40" i="3"/>
  <c r="D63" i="3" s="1"/>
  <c r="G40" i="3"/>
  <c r="C63" i="3" s="1"/>
  <c r="H40" i="3"/>
  <c r="B63" i="3" s="1"/>
  <c r="C41" i="3"/>
  <c r="G64" i="3" s="1"/>
  <c r="D41" i="3"/>
  <c r="F64" i="3" s="1"/>
  <c r="E41" i="3"/>
  <c r="E64" i="3" s="1"/>
  <c r="F41" i="3"/>
  <c r="D64" i="3" s="1"/>
  <c r="G41" i="3"/>
  <c r="C64" i="3" s="1"/>
  <c r="H41" i="3"/>
  <c r="B64" i="3" s="1"/>
  <c r="C42" i="3"/>
  <c r="G65" i="3" s="1"/>
  <c r="D42" i="3"/>
  <c r="F65" i="3" s="1"/>
  <c r="E42" i="3"/>
  <c r="E65" i="3" s="1"/>
  <c r="F42" i="3"/>
  <c r="D65" i="3" s="1"/>
  <c r="G42" i="3"/>
  <c r="C65" i="3" s="1"/>
  <c r="H42" i="3"/>
  <c r="B65" i="3" s="1"/>
  <c r="C43" i="3"/>
  <c r="G66" i="3" s="1"/>
  <c r="D43" i="3"/>
  <c r="F66" i="3" s="1"/>
  <c r="E43" i="3"/>
  <c r="E66" i="3" s="1"/>
  <c r="F43" i="3"/>
  <c r="D66" i="3" s="1"/>
  <c r="G43" i="3"/>
  <c r="C66" i="3" s="1"/>
  <c r="H43" i="3"/>
  <c r="B66" i="3" s="1"/>
  <c r="C44" i="3"/>
  <c r="G67" i="3" s="1"/>
  <c r="D44" i="3"/>
  <c r="F67" i="3" s="1"/>
  <c r="E44" i="3"/>
  <c r="E67" i="3" s="1"/>
  <c r="F44" i="3"/>
  <c r="D67" i="3" s="1"/>
  <c r="G44" i="3"/>
  <c r="C67" i="3" s="1"/>
  <c r="H44" i="3"/>
  <c r="B67" i="3" s="1"/>
  <c r="C30" i="3"/>
  <c r="G53" i="3" s="1"/>
  <c r="D30" i="3"/>
  <c r="F53" i="3" s="1"/>
  <c r="E30" i="3"/>
  <c r="E53" i="3" s="1"/>
  <c r="F30" i="3"/>
  <c r="D53" i="3" s="1"/>
  <c r="G30" i="3"/>
  <c r="C53" i="3" s="1"/>
  <c r="H30" i="3"/>
  <c r="B53" i="3" s="1"/>
  <c r="C31" i="3"/>
  <c r="G54" i="3" s="1"/>
  <c r="D31" i="3"/>
  <c r="F54" i="3" s="1"/>
  <c r="E31" i="3"/>
  <c r="E54" i="3" s="1"/>
  <c r="F31" i="3"/>
  <c r="D54" i="3" s="1"/>
  <c r="G31" i="3"/>
  <c r="C54" i="3" s="1"/>
  <c r="H31" i="3"/>
  <c r="B54" i="3" s="1"/>
  <c r="C32" i="3"/>
  <c r="G55" i="3" s="1"/>
  <c r="D32" i="3"/>
  <c r="F55" i="3" s="1"/>
  <c r="E32" i="3"/>
  <c r="E55" i="3" s="1"/>
  <c r="F32" i="3"/>
  <c r="D55" i="3" s="1"/>
  <c r="G32" i="3"/>
  <c r="C55" i="3" s="1"/>
  <c r="H32" i="3"/>
  <c r="B55" i="3" s="1"/>
  <c r="C33" i="3"/>
  <c r="G56" i="3" s="1"/>
  <c r="D33" i="3"/>
  <c r="F56" i="3" s="1"/>
  <c r="E33" i="3"/>
  <c r="E56" i="3" s="1"/>
  <c r="F33" i="3"/>
  <c r="D56" i="3" s="1"/>
  <c r="G33" i="3"/>
  <c r="C56" i="3" s="1"/>
  <c r="H33" i="3"/>
  <c r="B56" i="3" s="1"/>
  <c r="C34" i="3"/>
  <c r="G57" i="3" s="1"/>
  <c r="D34" i="3"/>
  <c r="F57" i="3" s="1"/>
  <c r="E34" i="3"/>
  <c r="E57" i="3" s="1"/>
  <c r="F34" i="3"/>
  <c r="D57" i="3" s="1"/>
  <c r="G34" i="3"/>
  <c r="C57" i="3" s="1"/>
  <c r="H34" i="3"/>
  <c r="B57" i="3" s="1"/>
  <c r="C35" i="3"/>
  <c r="G58" i="3" s="1"/>
  <c r="D35" i="3"/>
  <c r="F58" i="3" s="1"/>
  <c r="E35" i="3"/>
  <c r="E58" i="3" s="1"/>
  <c r="F35" i="3"/>
  <c r="D58" i="3" s="1"/>
  <c r="G35" i="3"/>
  <c r="C58" i="3" s="1"/>
  <c r="H35" i="3"/>
  <c r="B58" i="3" s="1"/>
  <c r="C36" i="3"/>
  <c r="G59" i="3" s="1"/>
  <c r="D36" i="3"/>
  <c r="F59" i="3" s="1"/>
  <c r="E36" i="3"/>
  <c r="E59" i="3" s="1"/>
  <c r="F36" i="3"/>
  <c r="D59" i="3" s="1"/>
  <c r="G36" i="3"/>
  <c r="C59" i="3" s="1"/>
  <c r="H36" i="3"/>
  <c r="B59" i="3" s="1"/>
  <c r="C37" i="3"/>
  <c r="G60" i="3" s="1"/>
  <c r="D37" i="3"/>
  <c r="F60" i="3" s="1"/>
  <c r="E37" i="3"/>
  <c r="E60" i="3" s="1"/>
  <c r="F37" i="3"/>
  <c r="D60" i="3" s="1"/>
  <c r="G37" i="3"/>
  <c r="C60" i="3" s="1"/>
  <c r="H37" i="3"/>
  <c r="B60" i="3" s="1"/>
  <c r="C38" i="3"/>
  <c r="G61" i="3" s="1"/>
  <c r="D38" i="3"/>
  <c r="F61" i="3" s="1"/>
  <c r="E38" i="3"/>
  <c r="E61" i="3" s="1"/>
  <c r="F38" i="3"/>
  <c r="D61" i="3" s="1"/>
  <c r="G38" i="3"/>
  <c r="C61" i="3" s="1"/>
  <c r="H38" i="3"/>
  <c r="B61" i="3" s="1"/>
  <c r="A6" i="1"/>
  <c r="A7" i="1"/>
  <c r="A8" i="1"/>
  <c r="A9" i="1"/>
  <c r="A10" i="1"/>
  <c r="A11" i="1"/>
  <c r="A12" i="1"/>
  <c r="A13" i="1"/>
  <c r="A14" i="1"/>
  <c r="A5" i="1"/>
  <c r="C29" i="3" l="1"/>
  <c r="G52" i="3" s="1"/>
  <c r="D29" i="3"/>
  <c r="F52" i="3" s="1"/>
  <c r="E29" i="3"/>
  <c r="E52" i="3" s="1"/>
  <c r="F29" i="3"/>
  <c r="D52" i="3" s="1"/>
  <c r="G29" i="3"/>
  <c r="C52" i="3" s="1"/>
</calcChain>
</file>

<file path=xl/sharedStrings.xml><?xml version="1.0" encoding="utf-8"?>
<sst xmlns="http://schemas.openxmlformats.org/spreadsheetml/2006/main" count="391" uniqueCount="235">
  <si>
    <t>Fty_Ftu</t>
  </si>
  <si>
    <t>Fty_E_eu_0</t>
  </si>
  <si>
    <t>Fty_E_eu_1</t>
  </si>
  <si>
    <t>Fty_E_eu_2</t>
  </si>
  <si>
    <t>Fty_E_eu_4</t>
  </si>
  <si>
    <t>Fty_E_eu_6</t>
  </si>
  <si>
    <t>Fty_E_eu_8</t>
  </si>
  <si>
    <t>Fty_E_eu_10</t>
  </si>
  <si>
    <t>Dw</t>
  </si>
  <si>
    <t>0.10, 0.10</t>
  </si>
  <si>
    <t>0.15, 0.15</t>
  </si>
  <si>
    <t>0.20, 0.19</t>
  </si>
  <si>
    <t>0.25, 0.24</t>
  </si>
  <si>
    <t>0.35, 0.31</t>
  </si>
  <si>
    <t>0.40, 0.34</t>
  </si>
  <si>
    <t>0.50, 0.40</t>
  </si>
  <si>
    <t>0.70, 0.53</t>
  </si>
  <si>
    <t>0.75, 0.58</t>
  </si>
  <si>
    <t>0.80, 0.64</t>
  </si>
  <si>
    <t>0.85, 0.71</t>
  </si>
  <si>
    <t>0.90, 0.79</t>
  </si>
  <si>
    <t>1.00, 1.00</t>
  </si>
  <si>
    <t>0.10, 0.12</t>
  </si>
  <si>
    <t>0.05, 0.07</t>
  </si>
  <si>
    <t>0.15, 0.18</t>
  </si>
  <si>
    <t>0.30, 0.33</t>
  </si>
  <si>
    <t>0.35, 0.37</t>
  </si>
  <si>
    <t>0.95, 0.92</t>
  </si>
  <si>
    <t>0.15, 0.22</t>
  </si>
  <si>
    <t>0.25, 0.36</t>
  </si>
  <si>
    <t>0.75, 0.77</t>
  </si>
  <si>
    <t>0.50, 0.72</t>
  </si>
  <si>
    <t>0.85, 0.87</t>
  </si>
  <si>
    <t>0.95, 0.95</t>
  </si>
  <si>
    <t>0.20, 0.67</t>
  </si>
  <si>
    <t>0.70, 0.82</t>
  </si>
  <si>
    <t>0.75, 0.84</t>
  </si>
  <si>
    <t>0.90, 0.91</t>
  </si>
  <si>
    <t>0.00, 0.00</t>
  </si>
  <si>
    <t>pin</t>
  </si>
  <si>
    <t>single</t>
  </si>
  <si>
    <t>double</t>
  </si>
  <si>
    <t>Axially</t>
  </si>
  <si>
    <t>bearing</t>
  </si>
  <si>
    <t>net section</t>
  </si>
  <si>
    <t xml:space="preserve">bearing </t>
  </si>
  <si>
    <t>sshear-ot</t>
  </si>
  <si>
    <t>yield deformation</t>
  </si>
  <si>
    <t>FbruL</t>
  </si>
  <si>
    <t>9 1</t>
  </si>
  <si>
    <t>9 2</t>
  </si>
  <si>
    <t>FbryL</t>
  </si>
  <si>
    <t>K</t>
  </si>
  <si>
    <t>Figure 9 2</t>
  </si>
  <si>
    <t>Figure 9 3</t>
  </si>
  <si>
    <t>D/t&gt;5</t>
  </si>
  <si>
    <t>D/t&lt;=5</t>
  </si>
  <si>
    <t>PbruL</t>
  </si>
  <si>
    <t>9 3</t>
  </si>
  <si>
    <t>uniform stiff pin</t>
  </si>
  <si>
    <t>Kn</t>
  </si>
  <si>
    <t>Figure 9 4</t>
  </si>
  <si>
    <t>FnuL</t>
  </si>
  <si>
    <t>Fnuy</t>
  </si>
  <si>
    <t>9 5</t>
  </si>
  <si>
    <t>9 4</t>
  </si>
  <si>
    <t>PnuL</t>
  </si>
  <si>
    <t>9 6</t>
  </si>
  <si>
    <t>PuL</t>
  </si>
  <si>
    <t>9 7</t>
  </si>
  <si>
    <t>Lug</t>
  </si>
  <si>
    <t>Bushing</t>
  </si>
  <si>
    <t>9 8</t>
  </si>
  <si>
    <t>9 9</t>
  </si>
  <si>
    <t>FbruB</t>
  </si>
  <si>
    <t>PuB</t>
  </si>
  <si>
    <t>PuLB</t>
  </si>
  <si>
    <t>9 10</t>
  </si>
  <si>
    <t>9 11</t>
  </si>
  <si>
    <t>Lug Bushing</t>
  </si>
  <si>
    <t>Pin</t>
  </si>
  <si>
    <t>shear</t>
  </si>
  <si>
    <t>Pusp</t>
  </si>
  <si>
    <t>9 12</t>
  </si>
  <si>
    <t>bending</t>
  </si>
  <si>
    <t>Mup</t>
  </si>
  <si>
    <t>9 14</t>
  </si>
  <si>
    <t>Pubp</t>
  </si>
  <si>
    <t>9 15</t>
  </si>
  <si>
    <t>weak pin Pubp&lt;Pusp and PuLB</t>
  </si>
  <si>
    <t>9 16</t>
  </si>
  <si>
    <t>balanced</t>
  </si>
  <si>
    <t>Pubp_max</t>
  </si>
  <si>
    <t>9 15a</t>
  </si>
  <si>
    <t>Pall</t>
  </si>
  <si>
    <t>9 17</t>
  </si>
  <si>
    <t>All</t>
  </si>
  <si>
    <t>Tang</t>
  </si>
  <si>
    <t>PT</t>
  </si>
  <si>
    <t>no bending</t>
  </si>
  <si>
    <t>9 20a</t>
  </si>
  <si>
    <t>pin bending</t>
  </si>
  <si>
    <t>9 21</t>
  </si>
  <si>
    <t>9 22</t>
  </si>
  <si>
    <t>FtT1</t>
  </si>
  <si>
    <t>9 23</t>
  </si>
  <si>
    <t>Fbr max L</t>
  </si>
  <si>
    <t>Ftmax</t>
  </si>
  <si>
    <t>9 24</t>
  </si>
  <si>
    <t>Net Section</t>
  </si>
  <si>
    <t>Net Section &amp; B3nding</t>
  </si>
  <si>
    <t>Fbr max B</t>
  </si>
  <si>
    <t>9 25</t>
  </si>
  <si>
    <t>Fs max p</t>
  </si>
  <si>
    <t>9 26</t>
  </si>
  <si>
    <t xml:space="preserve">Fb max </t>
  </si>
  <si>
    <t>9 27</t>
  </si>
  <si>
    <t>hav</t>
  </si>
  <si>
    <t>Transverse</t>
  </si>
  <si>
    <t>Ktru</t>
  </si>
  <si>
    <t>Figure 9 8</t>
  </si>
  <si>
    <t xml:space="preserve">9 28 </t>
  </si>
  <si>
    <t>9 29</t>
  </si>
  <si>
    <t>PtruL</t>
  </si>
  <si>
    <t>9 30</t>
  </si>
  <si>
    <t>9 11 to 9 19</t>
  </si>
  <si>
    <t>Oblique</t>
  </si>
  <si>
    <t>9 31</t>
  </si>
  <si>
    <t>0.50</t>
  </si>
  <si>
    <t>0.70</t>
  </si>
  <si>
    <t>0.80</t>
  </si>
  <si>
    <t>0.95</t>
  </si>
  <si>
    <t>1.00</t>
  </si>
  <si>
    <t>0.05</t>
  </si>
  <si>
    <t>0.65</t>
  </si>
  <si>
    <t>0.90</t>
  </si>
  <si>
    <t>0.15</t>
  </si>
  <si>
    <t>0.40</t>
  </si>
  <si>
    <t>0.30</t>
  </si>
  <si>
    <t>0.45</t>
  </si>
  <si>
    <t>0.10</t>
  </si>
  <si>
    <t>0.20</t>
  </si>
  <si>
    <t>0.25</t>
  </si>
  <si>
    <t>0.35</t>
  </si>
  <si>
    <t>0.55</t>
  </si>
  <si>
    <t>0.60</t>
  </si>
  <si>
    <t>0.75</t>
  </si>
  <si>
    <t>0.85</t>
  </si>
  <si>
    <t>0.30, 0.28</t>
  </si>
  <si>
    <t>0.45, 0.37</t>
  </si>
  <si>
    <t>0.65, 0.50</t>
  </si>
  <si>
    <t>0.20, 0.23</t>
  </si>
  <si>
    <t>0.25, 0.28</t>
  </si>
  <si>
    <t>0.40, 0.41</t>
  </si>
  <si>
    <t>0.30, 0.42</t>
  </si>
  <si>
    <t>0.35, 0.48</t>
  </si>
  <si>
    <t>0.85, 0.94</t>
  </si>
  <si>
    <t>0.25, 0.50</t>
  </si>
  <si>
    <t>0.70, 0.90</t>
  </si>
  <si>
    <t>0.05, 0.05</t>
  </si>
  <si>
    <t>0.55, 0.44</t>
  </si>
  <si>
    <t>0.60, 0.47</t>
  </si>
  <si>
    <t>0.95, 0.88</t>
  </si>
  <si>
    <t>0.45, 0.44</t>
  </si>
  <si>
    <t>0.50, 0.47</t>
  </si>
  <si>
    <t>0.55, 0.51</t>
  </si>
  <si>
    <t>0.60, 0.55</t>
  </si>
  <si>
    <t>0.65, 0.58</t>
  </si>
  <si>
    <t>0.70, 0.63</t>
  </si>
  <si>
    <t>0.75, 0.69</t>
  </si>
  <si>
    <t>0.80, 0.74</t>
  </si>
  <si>
    <t>0.85, 0.79</t>
  </si>
  <si>
    <t>0.90, 0.85</t>
  </si>
  <si>
    <t>0.05, 0.08</t>
  </si>
  <si>
    <t>0.10, 0.15</t>
  </si>
  <si>
    <t>0.20, 0.29</t>
  </si>
  <si>
    <t>0.40, 0.52</t>
  </si>
  <si>
    <t>0.45, 0.56</t>
  </si>
  <si>
    <t>0.50, 0.59</t>
  </si>
  <si>
    <t>0.55, 0.62</t>
  </si>
  <si>
    <t>0.60, 0.65</t>
  </si>
  <si>
    <t>0.65, 0.68</t>
  </si>
  <si>
    <t>0.70, 0.72</t>
  </si>
  <si>
    <t>0.80, 0.83</t>
  </si>
  <si>
    <t>0.05, 0.14</t>
  </si>
  <si>
    <t>0.10, 0.25</t>
  </si>
  <si>
    <t>0.15, 0.35</t>
  </si>
  <si>
    <t>0.20, 0.43</t>
  </si>
  <si>
    <t>0.30, 0.56</t>
  </si>
  <si>
    <t>0.35, 0.62</t>
  </si>
  <si>
    <t>0.40, 0.66</t>
  </si>
  <si>
    <t>0.45, 0.69</t>
  </si>
  <si>
    <t>0.55, 0.74</t>
  </si>
  <si>
    <t>0.60, 0.76</t>
  </si>
  <si>
    <t>0.65, 0.79</t>
  </si>
  <si>
    <t>0.80, 0.88</t>
  </si>
  <si>
    <t>0.85, 0.91</t>
  </si>
  <si>
    <t>0.90, 0.94</t>
  </si>
  <si>
    <t>0.95, 0.97</t>
  </si>
  <si>
    <t>0.05, 0.24</t>
  </si>
  <si>
    <t>0.10, 0.42</t>
  </si>
  <si>
    <t>0.15, 0.56</t>
  </si>
  <si>
    <t>0.25, 0.74</t>
  </si>
  <si>
    <t>0.30, 0.77</t>
  </si>
  <si>
    <t>0.35, 0.80</t>
  </si>
  <si>
    <t>0.40, 0.81</t>
  </si>
  <si>
    <t>0.45, 0.83</t>
  </si>
  <si>
    <t>0.50, 0.84</t>
  </si>
  <si>
    <t>0.55, 0.84</t>
  </si>
  <si>
    <t>0.60, 0.85</t>
  </si>
  <si>
    <t>0.65, 0.86</t>
  </si>
  <si>
    <t>0.70, 0.87</t>
  </si>
  <si>
    <t>0.75, 0.89</t>
  </si>
  <si>
    <t>0.80, 0.92</t>
  </si>
  <si>
    <t>0.90, 0.96</t>
  </si>
  <si>
    <t>0.05, 0.38</t>
  </si>
  <si>
    <t>0.10, 0.59</t>
  </si>
  <si>
    <t>0.15, 0.73</t>
  </si>
  <si>
    <t>0.20, 0.81</t>
  </si>
  <si>
    <t>0.25, 0.83</t>
  </si>
  <si>
    <t>0.30, 0.84</t>
  </si>
  <si>
    <t>0.35, 0.85</t>
  </si>
  <si>
    <t>0.40, 0.86</t>
  </si>
  <si>
    <t>0.45, 0.86</t>
  </si>
  <si>
    <t>0.50, 0.87</t>
  </si>
  <si>
    <t>0.55, 0.88</t>
  </si>
  <si>
    <t>0.60, 0.89</t>
  </si>
  <si>
    <t>0.65, 0.90</t>
  </si>
  <si>
    <t>0.75, 0.91</t>
  </si>
  <si>
    <t>0.05, 0.40</t>
  </si>
  <si>
    <t>0.10, 0.66</t>
  </si>
  <si>
    <t>0.15, 0.79</t>
  </si>
  <si>
    <t>0.20, 0.83</t>
  </si>
  <si>
    <t>0.25, 0.84</t>
  </si>
  <si>
    <t>0.30, 0.85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</si>
</sst>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0.6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Sheet2!$D$3</c:f>
              <c:strCache>
                <c:ptCount val="1"/>
                <c:pt idx="0">
                  <c:v>Fty_E_eu_0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Sheet2!$C$4:$C$14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Sheet2!$D$4:$D$14</c:f>
              <c:numCache>
                <c:formatCode>General</c:formatCode>
                <c:ptCount val="11"/>
                <c:pt idx="0">
                  <c:v>0</c:v>
                </c:pt>
                <c:pt idx="1">
                  <c:v>0.5</c:v>
                </c:pt>
                <c:pt idx="2">
                  <c:v>0.65</c:v>
                </c:pt>
                <c:pt idx="3">
                  <c:v>0.7</c:v>
                </c:pt>
                <c:pt idx="4">
                  <c:v>0.72</c:v>
                </c:pt>
                <c:pt idx="5">
                  <c:v>0.75</c:v>
                </c:pt>
                <c:pt idx="6">
                  <c:v>0.78</c:v>
                </c:pt>
                <c:pt idx="7">
                  <c:v>0.82</c:v>
                </c:pt>
                <c:pt idx="8">
                  <c:v>0.85</c:v>
                </c:pt>
                <c:pt idx="9">
                  <c:v>0.9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D93-4DFD-B753-12F02F11F6BC}"/>
            </c:ext>
          </c:extLst>
        </c:ser>
        <c:ser>
          <c:idx val="1"/>
          <c:order val="1"/>
          <c:tx>
            <c:strRef>
              <c:f>Sheet2!$E$3</c:f>
              <c:strCache>
                <c:ptCount val="1"/>
                <c:pt idx="0">
                  <c:v>Fty_E_eu_1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Sheet2!$C$4:$C$14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Sheet2!$E$4:$E$14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93-4DFD-B753-12F02F11F6BC}"/>
            </c:ext>
          </c:extLst>
        </c:ser>
        <c:ser>
          <c:idx val="2"/>
          <c:order val="2"/>
          <c:tx>
            <c:strRef>
              <c:f>Sheet2!$F$3</c:f>
              <c:strCache>
                <c:ptCount val="1"/>
                <c:pt idx="0">
                  <c:v>Fty_E_eu_2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Sheet2!$C$4:$C$14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Sheet2!$F$4:$F$14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D93-4DFD-B753-12F02F11F6BC}"/>
            </c:ext>
          </c:extLst>
        </c:ser>
        <c:ser>
          <c:idx val="3"/>
          <c:order val="3"/>
          <c:tx>
            <c:strRef>
              <c:f>Sheet2!$G$3</c:f>
              <c:strCache>
                <c:ptCount val="1"/>
                <c:pt idx="0">
                  <c:v>Fty_E_eu_4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Sheet2!$C$4:$C$14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Sheet2!$G$4:$G$14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D93-4DFD-B753-12F02F11F6BC}"/>
            </c:ext>
          </c:extLst>
        </c:ser>
        <c:ser>
          <c:idx val="4"/>
          <c:order val="4"/>
          <c:tx>
            <c:strRef>
              <c:f>Sheet2!$H$3</c:f>
              <c:strCache>
                <c:ptCount val="1"/>
                <c:pt idx="0">
                  <c:v>Fty_E_eu_6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Sheet2!$C$4:$C$14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Sheet2!$H$4:$H$14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D93-4DFD-B753-12F02F11F6BC}"/>
            </c:ext>
          </c:extLst>
        </c:ser>
        <c:ser>
          <c:idx val="5"/>
          <c:order val="5"/>
          <c:tx>
            <c:strRef>
              <c:f>Sheet2!$I$3</c:f>
              <c:strCache>
                <c:ptCount val="1"/>
                <c:pt idx="0">
                  <c:v>Fty_E_eu_8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Sheet2!$C$4:$C$14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Sheet2!$I$4:$I$14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D93-4DFD-B753-12F02F11F6BC}"/>
            </c:ext>
          </c:extLst>
        </c:ser>
        <c:ser>
          <c:idx val="6"/>
          <c:order val="6"/>
          <c:tx>
            <c:strRef>
              <c:f>Sheet2!$J$3</c:f>
              <c:strCache>
                <c:ptCount val="1"/>
                <c:pt idx="0">
                  <c:v>Fty_E_eu_10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Sheet2!$C$4:$C$14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Sheet2!$J$4:$J$14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0.28000000000000003</c:v>
                </c:pt>
                <c:pt idx="4">
                  <c:v>0.35</c:v>
                </c:pt>
                <c:pt idx="5">
                  <c:v>0.4</c:v>
                </c:pt>
                <c:pt idx="6">
                  <c:v>0.45</c:v>
                </c:pt>
                <c:pt idx="7">
                  <c:v>0.52</c:v>
                </c:pt>
                <c:pt idx="8">
                  <c:v>0.65</c:v>
                </c:pt>
                <c:pt idx="9">
                  <c:v>0.78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0D93-4DFD-B753-12F02F11F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0739184"/>
        <c:axId val="1635931936"/>
      </c:scatterChart>
      <c:valAx>
        <c:axId val="1670739184"/>
        <c:scaling>
          <c:orientation val="minMax"/>
          <c:max val="1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5931936"/>
        <c:crosses val="autoZero"/>
        <c:crossBetween val="midCat"/>
      </c:valAx>
      <c:valAx>
        <c:axId val="163593193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739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0.8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Sheet2!$D$3</c:f>
              <c:strCache>
                <c:ptCount val="1"/>
                <c:pt idx="0">
                  <c:v>Fty_E_eu_0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Sheet2!$C$15:$C$25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Sheet2!$D$15:$D$25</c:f>
              <c:numCache>
                <c:formatCode>General</c:formatCode>
                <c:ptCount val="11"/>
                <c:pt idx="0">
                  <c:v>0</c:v>
                </c:pt>
                <c:pt idx="1">
                  <c:v>0.65</c:v>
                </c:pt>
                <c:pt idx="2">
                  <c:v>0.82</c:v>
                </c:pt>
                <c:pt idx="3">
                  <c:v>0.83</c:v>
                </c:pt>
                <c:pt idx="4">
                  <c:v>0.85</c:v>
                </c:pt>
                <c:pt idx="5">
                  <c:v>0.86</c:v>
                </c:pt>
                <c:pt idx="6">
                  <c:v>0.88</c:v>
                </c:pt>
                <c:pt idx="7">
                  <c:v>0.9</c:v>
                </c:pt>
                <c:pt idx="8">
                  <c:v>0.92</c:v>
                </c:pt>
                <c:pt idx="9">
                  <c:v>0.95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D93-4DFD-B753-12F02F11F6BC}"/>
            </c:ext>
          </c:extLst>
        </c:ser>
        <c:ser>
          <c:idx val="1"/>
          <c:order val="1"/>
          <c:tx>
            <c:strRef>
              <c:f>Sheet2!$E$3</c:f>
              <c:strCache>
                <c:ptCount val="1"/>
                <c:pt idx="0">
                  <c:v>Fty_E_eu_1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Sheet2!$C$15:$C$25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Sheet2!$E$15:$E$25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93-4DFD-B753-12F02F11F6BC}"/>
            </c:ext>
          </c:extLst>
        </c:ser>
        <c:ser>
          <c:idx val="2"/>
          <c:order val="2"/>
          <c:tx>
            <c:strRef>
              <c:f>Sheet2!$F$3</c:f>
              <c:strCache>
                <c:ptCount val="1"/>
                <c:pt idx="0">
                  <c:v>Fty_E_eu_2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Sheet2!$C$15:$C$25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Sheet2!$F$15:$F$25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D93-4DFD-B753-12F02F11F6BC}"/>
            </c:ext>
          </c:extLst>
        </c:ser>
        <c:ser>
          <c:idx val="3"/>
          <c:order val="3"/>
          <c:tx>
            <c:strRef>
              <c:f>Sheet2!$G$3</c:f>
              <c:strCache>
                <c:ptCount val="1"/>
                <c:pt idx="0">
                  <c:v>Fty_E_eu_4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Sheet2!$C$15:$C$25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Sheet2!$G$15:$G$25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D93-4DFD-B753-12F02F11F6BC}"/>
            </c:ext>
          </c:extLst>
        </c:ser>
        <c:ser>
          <c:idx val="4"/>
          <c:order val="4"/>
          <c:tx>
            <c:strRef>
              <c:f>Sheet2!$H$3</c:f>
              <c:strCache>
                <c:ptCount val="1"/>
                <c:pt idx="0">
                  <c:v>Fty_E_eu_6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Sheet2!$C$15:$C$25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Sheet2!$H$15:$H$25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D93-4DFD-B753-12F02F11F6BC}"/>
            </c:ext>
          </c:extLst>
        </c:ser>
        <c:ser>
          <c:idx val="5"/>
          <c:order val="5"/>
          <c:tx>
            <c:strRef>
              <c:f>Sheet2!$I$3</c:f>
              <c:strCache>
                <c:ptCount val="1"/>
                <c:pt idx="0">
                  <c:v>Fty_E_eu_8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Sheet2!$C$15:$C$25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Sheet2!$I$15:$I$25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D93-4DFD-B753-12F02F11F6BC}"/>
            </c:ext>
          </c:extLst>
        </c:ser>
        <c:ser>
          <c:idx val="6"/>
          <c:order val="6"/>
          <c:tx>
            <c:strRef>
              <c:f>Sheet2!$J$3</c:f>
              <c:strCache>
                <c:ptCount val="1"/>
                <c:pt idx="0">
                  <c:v>Fty_E_eu_10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Sheet2!$C$15:$C$25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Sheet2!$J$15:$J$25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0.35</c:v>
                </c:pt>
                <c:pt idx="5">
                  <c:v>0.4</c:v>
                </c:pt>
                <c:pt idx="6">
                  <c:v>0.45</c:v>
                </c:pt>
                <c:pt idx="7">
                  <c:v>0.52</c:v>
                </c:pt>
                <c:pt idx="8">
                  <c:v>0.65</c:v>
                </c:pt>
                <c:pt idx="9">
                  <c:v>0.78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0D93-4DFD-B753-12F02F11F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0739184"/>
        <c:axId val="1635931936"/>
      </c:scatterChart>
      <c:valAx>
        <c:axId val="1670739184"/>
        <c:scaling>
          <c:orientation val="minMax"/>
          <c:max val="1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5931936"/>
        <c:crosses val="autoZero"/>
        <c:crossBetween val="midCat"/>
      </c:valAx>
      <c:valAx>
        <c:axId val="163593193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739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Sheet2!$D$3</c:f>
              <c:strCache>
                <c:ptCount val="1"/>
                <c:pt idx="0">
                  <c:v>Fty_E_eu_0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Sheet2!$C$26:$C$36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Sheet2!$D$26:$D$36</c:f>
              <c:numCache>
                <c:formatCode>General</c:formatCode>
                <c:ptCount val="11"/>
                <c:pt idx="0">
                  <c:v>0</c:v>
                </c:pt>
                <c:pt idx="1">
                  <c:v>0.8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D93-4DFD-B753-12F02F11F6BC}"/>
            </c:ext>
          </c:extLst>
        </c:ser>
        <c:ser>
          <c:idx val="1"/>
          <c:order val="1"/>
          <c:tx>
            <c:strRef>
              <c:f>Sheet2!$E$3</c:f>
              <c:strCache>
                <c:ptCount val="1"/>
                <c:pt idx="0">
                  <c:v>Fty_E_eu_1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Sheet2!$C$26:$C$36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Sheet2!$E$26:$E$36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93-4DFD-B753-12F02F11F6BC}"/>
            </c:ext>
          </c:extLst>
        </c:ser>
        <c:ser>
          <c:idx val="2"/>
          <c:order val="2"/>
          <c:tx>
            <c:strRef>
              <c:f>Sheet2!$F$3</c:f>
              <c:strCache>
                <c:ptCount val="1"/>
                <c:pt idx="0">
                  <c:v>Fty_E_eu_2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Sheet2!$C$26:$C$36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Sheet2!$F$26:$F$36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D93-4DFD-B753-12F02F11F6BC}"/>
            </c:ext>
          </c:extLst>
        </c:ser>
        <c:ser>
          <c:idx val="3"/>
          <c:order val="3"/>
          <c:tx>
            <c:strRef>
              <c:f>Sheet2!$G$3</c:f>
              <c:strCache>
                <c:ptCount val="1"/>
                <c:pt idx="0">
                  <c:v>Fty_E_eu_4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Sheet2!$C$26:$C$36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Sheet2!$G$26:$G$36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D93-4DFD-B753-12F02F11F6BC}"/>
            </c:ext>
          </c:extLst>
        </c:ser>
        <c:ser>
          <c:idx val="4"/>
          <c:order val="4"/>
          <c:tx>
            <c:strRef>
              <c:f>Sheet2!$H$3</c:f>
              <c:strCache>
                <c:ptCount val="1"/>
                <c:pt idx="0">
                  <c:v>Fty_E_eu_6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Sheet2!$C$26:$C$36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Sheet2!$H$26:$H$36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D93-4DFD-B753-12F02F11F6BC}"/>
            </c:ext>
          </c:extLst>
        </c:ser>
        <c:ser>
          <c:idx val="5"/>
          <c:order val="5"/>
          <c:tx>
            <c:strRef>
              <c:f>Sheet2!$I$3</c:f>
              <c:strCache>
                <c:ptCount val="1"/>
                <c:pt idx="0">
                  <c:v>Fty_E_eu_8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Sheet2!$C$26:$C$36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Sheet2!$I$26:$I$36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D93-4DFD-B753-12F02F11F6BC}"/>
            </c:ext>
          </c:extLst>
        </c:ser>
        <c:ser>
          <c:idx val="6"/>
          <c:order val="6"/>
          <c:tx>
            <c:strRef>
              <c:f>Sheet2!$J$3</c:f>
              <c:strCache>
                <c:ptCount val="1"/>
                <c:pt idx="0">
                  <c:v>Fty_E_eu_10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Sheet2!$C$26:$C$36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Sheet2!$J$26:$J$36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0.28000000000000003</c:v>
                </c:pt>
                <c:pt idx="4">
                  <c:v>0.35</c:v>
                </c:pt>
                <c:pt idx="5">
                  <c:v>0.4</c:v>
                </c:pt>
                <c:pt idx="6">
                  <c:v>0.45</c:v>
                </c:pt>
                <c:pt idx="7">
                  <c:v>0.52</c:v>
                </c:pt>
                <c:pt idx="8">
                  <c:v>0.62</c:v>
                </c:pt>
                <c:pt idx="9">
                  <c:v>0.78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0D93-4DFD-B753-12F02F11F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0739184"/>
        <c:axId val="1635931936"/>
      </c:scatterChart>
      <c:valAx>
        <c:axId val="1670739184"/>
        <c:scaling>
          <c:orientation val="minMax"/>
          <c:max val="1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5931936"/>
        <c:crosses val="autoZero"/>
        <c:crossBetween val="midCat"/>
      </c:valAx>
      <c:valAx>
        <c:axId val="163593193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739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437215</xdr:colOff>
      <xdr:row>1</xdr:row>
      <xdr:rowOff>115427</xdr:rowOff>
    </xdr:from>
    <xdr:to>
      <xdr:col>19</xdr:col>
      <xdr:colOff>127559</xdr:colOff>
      <xdr:row>16</xdr:row>
      <xdr:rowOff>96377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1D6A9B6-94BA-2D5A-BF70-49F8F04DAB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399863</xdr:colOff>
      <xdr:row>13</xdr:row>
      <xdr:rowOff>107956</xdr:rowOff>
    </xdr:from>
    <xdr:to>
      <xdr:col>19</xdr:col>
      <xdr:colOff>90207</xdr:colOff>
      <xdr:row>28</xdr:row>
      <xdr:rowOff>88905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4461773-16FD-D38B-A5F5-107277C982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369979</xdr:colOff>
      <xdr:row>26</xdr:row>
      <xdr:rowOff>70603</xdr:rowOff>
    </xdr:from>
    <xdr:to>
      <xdr:col>19</xdr:col>
      <xdr:colOff>60323</xdr:colOff>
      <xdr:row>41</xdr:row>
      <xdr:rowOff>51552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95C1C0F-08FE-D94F-2AD0-5DB8874B8D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AB996-2757-4CDA-BD6E-70BABBDD6CAD}">
  <dimension ref="A5:C14"/>
  <sheetViews>
    <sheetView topLeftCell="A6" workbookViewId="0">
      <selection activeCell="A6" sqref="A5:A14"/>
    </sheetView>
  </sheetViews>
  <sheetFormatPr defaultRowHeight="14.4" x14ac:dyDescent="0.3"/>
  <sheetData>
    <row r="5" spans="1:3" x14ac:dyDescent="0.3">
      <c r="A5">
        <f>B5^-1/2</f>
        <v>3.3333333333333335</v>
      </c>
      <c r="B5">
        <v>0.15</v>
      </c>
      <c r="C5">
        <v>8.5069999999999997</v>
      </c>
    </row>
    <row r="6" spans="1:3" x14ac:dyDescent="0.3">
      <c r="A6">
        <f t="shared" ref="A6:A14" si="0">B6^-1/2</f>
        <v>2.5</v>
      </c>
      <c r="B6">
        <v>0.2</v>
      </c>
      <c r="C6">
        <v>6.907</v>
      </c>
    </row>
    <row r="7" spans="1:3" x14ac:dyDescent="0.3">
      <c r="A7">
        <f t="shared" si="0"/>
        <v>2</v>
      </c>
      <c r="B7">
        <v>0.25</v>
      </c>
      <c r="C7">
        <v>5.98</v>
      </c>
    </row>
    <row r="8" spans="1:3" x14ac:dyDescent="0.3">
      <c r="A8">
        <f t="shared" si="0"/>
        <v>1.6666666666666667</v>
      </c>
      <c r="B8">
        <v>0.3</v>
      </c>
      <c r="C8">
        <v>5.4029999999999996</v>
      </c>
    </row>
    <row r="9" spans="1:3" x14ac:dyDescent="0.3">
      <c r="A9">
        <f t="shared" si="0"/>
        <v>1.4285714285714286</v>
      </c>
      <c r="B9">
        <v>0.35</v>
      </c>
      <c r="C9">
        <v>5.0380000000000003</v>
      </c>
    </row>
    <row r="10" spans="1:3" x14ac:dyDescent="0.3">
      <c r="A10">
        <f t="shared" si="0"/>
        <v>1.25</v>
      </c>
      <c r="B10">
        <v>0.4</v>
      </c>
      <c r="C10">
        <v>4.8170000000000002</v>
      </c>
    </row>
    <row r="11" spans="1:3" x14ac:dyDescent="0.3">
      <c r="A11">
        <f t="shared" si="0"/>
        <v>1.1111111111111112</v>
      </c>
      <c r="B11">
        <v>0.45</v>
      </c>
      <c r="C11">
        <v>4.7069999999999999</v>
      </c>
    </row>
    <row r="12" spans="1:3" x14ac:dyDescent="0.3">
      <c r="A12">
        <f t="shared" si="0"/>
        <v>1</v>
      </c>
      <c r="B12">
        <v>0.5</v>
      </c>
      <c r="C12">
        <v>4.6920000000000002</v>
      </c>
    </row>
    <row r="13" spans="1:3" x14ac:dyDescent="0.3">
      <c r="A13">
        <f t="shared" si="0"/>
        <v>0.90909090909090906</v>
      </c>
      <c r="B13">
        <v>0.55000000000000004</v>
      </c>
      <c r="C13">
        <v>4.7690000000000001</v>
      </c>
    </row>
    <row r="14" spans="1:3" x14ac:dyDescent="0.3">
      <c r="A14">
        <f t="shared" si="0"/>
        <v>0.83333333333333337</v>
      </c>
      <c r="B14">
        <v>0.6</v>
      </c>
      <c r="C14">
        <v>4.9489999999999998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D8BC0-7630-4FEC-A3D6-F44AF91D8DCF}">
  <dimension ref="B3:J36"/>
  <sheetViews>
    <sheetView zoomScale="85" zoomScaleNormal="85" workbookViewId="0">
      <selection activeCell="K23" sqref="K23"/>
    </sheetView>
  </sheetViews>
  <sheetFormatPr defaultRowHeight="14.4" x14ac:dyDescent="0.3"/>
  <cols>
    <col min="4" max="9" width="10.33203125" bestFit="1" customWidth="1"/>
    <col min="10" max="10" width="11.33203125" bestFit="1" customWidth="1"/>
  </cols>
  <sheetData>
    <row r="3" spans="2:10" x14ac:dyDescent="0.3">
      <c r="B3" t="s">
        <v>0</v>
      </c>
      <c r="C3" t="s">
        <v>8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6</v>
      </c>
      <c r="J3" t="s">
        <v>7</v>
      </c>
    </row>
    <row r="4" spans="2:10" x14ac:dyDescent="0.3">
      <c r="B4">
        <v>0.6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2:10" x14ac:dyDescent="0.3">
      <c r="B5">
        <v>0.6</v>
      </c>
      <c r="C5">
        <v>0.1</v>
      </c>
      <c r="D5">
        <v>0.5</v>
      </c>
      <c r="J5">
        <v>0.1</v>
      </c>
    </row>
    <row r="6" spans="2:10" x14ac:dyDescent="0.3">
      <c r="B6">
        <v>0.6</v>
      </c>
      <c r="C6">
        <v>0.2</v>
      </c>
      <c r="D6">
        <v>0.65</v>
      </c>
      <c r="J6">
        <v>0.2</v>
      </c>
    </row>
    <row r="7" spans="2:10" x14ac:dyDescent="0.3">
      <c r="B7">
        <v>0.6</v>
      </c>
      <c r="C7">
        <v>0.3</v>
      </c>
      <c r="D7">
        <v>0.7</v>
      </c>
      <c r="J7">
        <v>0.28000000000000003</v>
      </c>
    </row>
    <row r="8" spans="2:10" x14ac:dyDescent="0.3">
      <c r="B8">
        <v>0.6</v>
      </c>
      <c r="C8">
        <v>0.4</v>
      </c>
      <c r="D8">
        <v>0.72</v>
      </c>
      <c r="J8">
        <v>0.35</v>
      </c>
    </row>
    <row r="9" spans="2:10" x14ac:dyDescent="0.3">
      <c r="B9">
        <v>0.6</v>
      </c>
      <c r="C9">
        <v>0.5</v>
      </c>
      <c r="D9">
        <v>0.75</v>
      </c>
      <c r="J9">
        <v>0.4</v>
      </c>
    </row>
    <row r="10" spans="2:10" x14ac:dyDescent="0.3">
      <c r="B10">
        <v>0.6</v>
      </c>
      <c r="C10">
        <v>0.6</v>
      </c>
      <c r="D10">
        <v>0.78</v>
      </c>
      <c r="J10">
        <v>0.45</v>
      </c>
    </row>
    <row r="11" spans="2:10" x14ac:dyDescent="0.3">
      <c r="B11">
        <v>0.6</v>
      </c>
      <c r="C11">
        <v>0.7</v>
      </c>
      <c r="D11">
        <v>0.82</v>
      </c>
      <c r="J11">
        <v>0.52</v>
      </c>
    </row>
    <row r="12" spans="2:10" x14ac:dyDescent="0.3">
      <c r="B12">
        <v>0.6</v>
      </c>
      <c r="C12">
        <v>0.8</v>
      </c>
      <c r="D12">
        <v>0.85</v>
      </c>
      <c r="J12">
        <v>0.65</v>
      </c>
    </row>
    <row r="13" spans="2:10" x14ac:dyDescent="0.3">
      <c r="B13">
        <v>0.6</v>
      </c>
      <c r="C13">
        <v>0.9</v>
      </c>
      <c r="D13">
        <v>0.9</v>
      </c>
      <c r="J13">
        <v>0.78</v>
      </c>
    </row>
    <row r="14" spans="2:10" x14ac:dyDescent="0.3">
      <c r="B14">
        <v>0.6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</row>
    <row r="15" spans="2:10" x14ac:dyDescent="0.3">
      <c r="B15">
        <v>0.8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2:10" x14ac:dyDescent="0.3">
      <c r="B16">
        <v>0.8</v>
      </c>
      <c r="C16">
        <v>0.1</v>
      </c>
      <c r="D16">
        <v>0.65</v>
      </c>
      <c r="J16">
        <v>0.1</v>
      </c>
    </row>
    <row r="17" spans="2:10" x14ac:dyDescent="0.3">
      <c r="B17">
        <v>0.8</v>
      </c>
      <c r="C17">
        <v>0.2</v>
      </c>
      <c r="D17">
        <v>0.82</v>
      </c>
      <c r="J17">
        <v>0.2</v>
      </c>
    </row>
    <row r="18" spans="2:10" x14ac:dyDescent="0.3">
      <c r="B18">
        <v>0.8</v>
      </c>
      <c r="C18">
        <v>0.3</v>
      </c>
      <c r="D18">
        <v>0.83</v>
      </c>
      <c r="J18">
        <v>0.3</v>
      </c>
    </row>
    <row r="19" spans="2:10" x14ac:dyDescent="0.3">
      <c r="B19">
        <v>0.8</v>
      </c>
      <c r="C19">
        <v>0.4</v>
      </c>
      <c r="D19">
        <v>0.85</v>
      </c>
      <c r="J19">
        <v>0.35</v>
      </c>
    </row>
    <row r="20" spans="2:10" x14ac:dyDescent="0.3">
      <c r="B20">
        <v>0.8</v>
      </c>
      <c r="C20">
        <v>0.5</v>
      </c>
      <c r="D20">
        <v>0.86</v>
      </c>
      <c r="J20">
        <v>0.4</v>
      </c>
    </row>
    <row r="21" spans="2:10" x14ac:dyDescent="0.3">
      <c r="B21">
        <v>0.8</v>
      </c>
      <c r="C21">
        <v>0.6</v>
      </c>
      <c r="D21">
        <v>0.88</v>
      </c>
      <c r="J21">
        <v>0.45</v>
      </c>
    </row>
    <row r="22" spans="2:10" x14ac:dyDescent="0.3">
      <c r="B22">
        <v>0.8</v>
      </c>
      <c r="C22">
        <v>0.7</v>
      </c>
      <c r="D22">
        <v>0.9</v>
      </c>
      <c r="J22">
        <v>0.52</v>
      </c>
    </row>
    <row r="23" spans="2:10" x14ac:dyDescent="0.3">
      <c r="B23">
        <v>0.8</v>
      </c>
      <c r="C23">
        <v>0.8</v>
      </c>
      <c r="D23">
        <v>0.92</v>
      </c>
      <c r="J23">
        <v>0.65</v>
      </c>
    </row>
    <row r="24" spans="2:10" x14ac:dyDescent="0.3">
      <c r="B24">
        <v>0.8</v>
      </c>
      <c r="C24">
        <v>0.9</v>
      </c>
      <c r="D24">
        <v>0.95</v>
      </c>
      <c r="J24">
        <v>0.78</v>
      </c>
    </row>
    <row r="25" spans="2:10" x14ac:dyDescent="0.3">
      <c r="B25">
        <v>0.8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</row>
    <row r="26" spans="2:10" x14ac:dyDescent="0.3">
      <c r="B26">
        <v>1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2:10" x14ac:dyDescent="0.3">
      <c r="B27">
        <v>1</v>
      </c>
      <c r="C27">
        <v>0.1</v>
      </c>
      <c r="D27">
        <v>0.8</v>
      </c>
      <c r="J27">
        <v>0.1</v>
      </c>
    </row>
    <row r="28" spans="2:10" x14ac:dyDescent="0.3">
      <c r="B28">
        <v>1</v>
      </c>
      <c r="C28">
        <v>0.2</v>
      </c>
      <c r="D28">
        <v>1</v>
      </c>
      <c r="J28">
        <v>0.2</v>
      </c>
    </row>
    <row r="29" spans="2:10" x14ac:dyDescent="0.3">
      <c r="B29">
        <v>1</v>
      </c>
      <c r="C29">
        <v>0.3</v>
      </c>
      <c r="D29">
        <v>1</v>
      </c>
      <c r="J29">
        <v>0.28000000000000003</v>
      </c>
    </row>
    <row r="30" spans="2:10" x14ac:dyDescent="0.3">
      <c r="B30">
        <v>1</v>
      </c>
      <c r="C30">
        <v>0.4</v>
      </c>
      <c r="D30">
        <v>1</v>
      </c>
      <c r="J30">
        <v>0.35</v>
      </c>
    </row>
    <row r="31" spans="2:10" x14ac:dyDescent="0.3">
      <c r="B31">
        <v>1</v>
      </c>
      <c r="C31">
        <v>0.5</v>
      </c>
      <c r="D31">
        <v>1</v>
      </c>
      <c r="J31">
        <v>0.4</v>
      </c>
    </row>
    <row r="32" spans="2:10" x14ac:dyDescent="0.3">
      <c r="B32">
        <v>1</v>
      </c>
      <c r="C32">
        <v>0.6</v>
      </c>
      <c r="D32">
        <v>1</v>
      </c>
      <c r="J32">
        <v>0.45</v>
      </c>
    </row>
    <row r="33" spans="2:10" x14ac:dyDescent="0.3">
      <c r="B33">
        <v>1</v>
      </c>
      <c r="C33">
        <v>0.7</v>
      </c>
      <c r="D33">
        <v>1</v>
      </c>
      <c r="J33">
        <v>0.52</v>
      </c>
    </row>
    <row r="34" spans="2:10" x14ac:dyDescent="0.3">
      <c r="B34">
        <v>1</v>
      </c>
      <c r="C34">
        <v>0.8</v>
      </c>
      <c r="D34">
        <v>1</v>
      </c>
      <c r="J34">
        <v>0.62</v>
      </c>
    </row>
    <row r="35" spans="2:10" x14ac:dyDescent="0.3">
      <c r="B35">
        <v>1</v>
      </c>
      <c r="C35">
        <v>0.9</v>
      </c>
      <c r="D35">
        <v>1</v>
      </c>
      <c r="J35">
        <v>0.78</v>
      </c>
    </row>
    <row r="36" spans="2:10" x14ac:dyDescent="0.3">
      <c r="B36">
        <v>1</v>
      </c>
      <c r="C36">
        <v>1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E4EEB-C81A-4602-83E2-8B73C54F2070}">
  <dimension ref="A5:AG83"/>
  <sheetViews>
    <sheetView tabSelected="1" topLeftCell="A13" zoomScale="85" zoomScaleNormal="85" workbookViewId="0">
      <selection activeCell="J64" sqref="J64"/>
    </sheetView>
  </sheetViews>
  <sheetFormatPr defaultRowHeight="14.4" x14ac:dyDescent="0.3"/>
  <sheetData>
    <row r="5" spans="2:8" x14ac:dyDescent="0.3">
      <c r="B5">
        <v>1</v>
      </c>
      <c r="C5">
        <v>0.8</v>
      </c>
      <c r="D5">
        <v>0.6</v>
      </c>
      <c r="E5">
        <v>0.4</v>
      </c>
      <c r="F5">
        <v>0.2</v>
      </c>
      <c r="G5">
        <v>0.1</v>
      </c>
      <c r="H5">
        <v>0</v>
      </c>
    </row>
    <row r="6" spans="2:8" x14ac:dyDescent="0.3">
      <c r="B6" t="s">
        <v>38</v>
      </c>
      <c r="C6" t="s">
        <v>38</v>
      </c>
      <c r="D6" t="s">
        <v>38</v>
      </c>
      <c r="E6" t="s">
        <v>38</v>
      </c>
      <c r="F6" t="s">
        <v>38</v>
      </c>
      <c r="G6" t="s">
        <v>38</v>
      </c>
      <c r="H6" t="s">
        <v>38</v>
      </c>
    </row>
    <row r="7" spans="2:8" x14ac:dyDescent="0.3">
      <c r="B7" t="s">
        <v>159</v>
      </c>
      <c r="C7" t="s">
        <v>23</v>
      </c>
      <c r="D7" t="s">
        <v>173</v>
      </c>
      <c r="E7" t="s">
        <v>184</v>
      </c>
      <c r="F7" t="s">
        <v>199</v>
      </c>
      <c r="G7" t="s">
        <v>215</v>
      </c>
      <c r="H7" t="s">
        <v>229</v>
      </c>
    </row>
    <row r="8" spans="2:8" x14ac:dyDescent="0.3">
      <c r="B8" t="s">
        <v>9</v>
      </c>
      <c r="C8" t="s">
        <v>22</v>
      </c>
      <c r="D8" t="s">
        <v>174</v>
      </c>
      <c r="E8" t="s">
        <v>185</v>
      </c>
      <c r="F8" t="s">
        <v>200</v>
      </c>
      <c r="G8" t="s">
        <v>216</v>
      </c>
      <c r="H8" t="s">
        <v>230</v>
      </c>
    </row>
    <row r="9" spans="2:8" x14ac:dyDescent="0.3">
      <c r="B9" t="s">
        <v>10</v>
      </c>
      <c r="C9" t="s">
        <v>24</v>
      </c>
      <c r="D9" t="s">
        <v>28</v>
      </c>
      <c r="E9" t="s">
        <v>186</v>
      </c>
      <c r="F9" t="s">
        <v>201</v>
      </c>
      <c r="G9" t="s">
        <v>217</v>
      </c>
      <c r="H9" t="s">
        <v>231</v>
      </c>
    </row>
    <row r="10" spans="2:8" x14ac:dyDescent="0.3">
      <c r="B10" t="s">
        <v>11</v>
      </c>
      <c r="C10" t="s">
        <v>151</v>
      </c>
      <c r="D10" t="s">
        <v>175</v>
      </c>
      <c r="E10" t="s">
        <v>187</v>
      </c>
      <c r="F10" t="s">
        <v>34</v>
      </c>
      <c r="G10" t="s">
        <v>218</v>
      </c>
      <c r="H10" t="s">
        <v>232</v>
      </c>
    </row>
    <row r="11" spans="2:8" x14ac:dyDescent="0.3">
      <c r="B11" t="s">
        <v>12</v>
      </c>
      <c r="C11" t="s">
        <v>152</v>
      </c>
      <c r="D11" t="s">
        <v>29</v>
      </c>
      <c r="E11" t="s">
        <v>157</v>
      </c>
      <c r="F11" t="s">
        <v>202</v>
      </c>
      <c r="G11" t="s">
        <v>219</v>
      </c>
      <c r="H11" t="s">
        <v>233</v>
      </c>
    </row>
    <row r="12" spans="2:8" x14ac:dyDescent="0.3">
      <c r="B12" t="s">
        <v>148</v>
      </c>
      <c r="C12" t="s">
        <v>25</v>
      </c>
      <c r="D12" t="s">
        <v>154</v>
      </c>
      <c r="E12" t="s">
        <v>188</v>
      </c>
      <c r="F12" t="s">
        <v>203</v>
      </c>
      <c r="G12" t="s">
        <v>220</v>
      </c>
      <c r="H12" t="s">
        <v>234</v>
      </c>
    </row>
    <row r="13" spans="2:8" x14ac:dyDescent="0.3">
      <c r="B13" t="s">
        <v>13</v>
      </c>
      <c r="C13" t="s">
        <v>26</v>
      </c>
      <c r="D13" t="s">
        <v>155</v>
      </c>
      <c r="E13" t="s">
        <v>189</v>
      </c>
      <c r="F13" t="s">
        <v>204</v>
      </c>
      <c r="G13" t="s">
        <v>221</v>
      </c>
      <c r="H13" t="s">
        <v>221</v>
      </c>
    </row>
    <row r="14" spans="2:8" x14ac:dyDescent="0.3">
      <c r="B14" t="s">
        <v>14</v>
      </c>
      <c r="C14" t="s">
        <v>153</v>
      </c>
      <c r="D14" t="s">
        <v>176</v>
      </c>
      <c r="E14" t="s">
        <v>190</v>
      </c>
      <c r="F14" t="s">
        <v>205</v>
      </c>
      <c r="G14" t="s">
        <v>222</v>
      </c>
      <c r="H14" t="s">
        <v>222</v>
      </c>
    </row>
    <row r="15" spans="2:8" x14ac:dyDescent="0.3">
      <c r="B15" t="s">
        <v>149</v>
      </c>
      <c r="C15" t="s">
        <v>163</v>
      </c>
      <c r="D15" t="s">
        <v>177</v>
      </c>
      <c r="E15" t="s">
        <v>191</v>
      </c>
      <c r="F15" t="s">
        <v>206</v>
      </c>
      <c r="G15" t="s">
        <v>223</v>
      </c>
      <c r="H15" t="s">
        <v>223</v>
      </c>
    </row>
    <row r="16" spans="2:8" x14ac:dyDescent="0.3">
      <c r="B16" t="s">
        <v>15</v>
      </c>
      <c r="C16" t="s">
        <v>164</v>
      </c>
      <c r="D16" t="s">
        <v>178</v>
      </c>
      <c r="E16" t="s">
        <v>31</v>
      </c>
      <c r="F16" t="s">
        <v>207</v>
      </c>
      <c r="G16" t="s">
        <v>224</v>
      </c>
      <c r="H16" t="s">
        <v>224</v>
      </c>
    </row>
    <row r="17" spans="1:27" x14ac:dyDescent="0.3">
      <c r="B17" t="s">
        <v>160</v>
      </c>
      <c r="C17" t="s">
        <v>165</v>
      </c>
      <c r="D17" t="s">
        <v>179</v>
      </c>
      <c r="E17" t="s">
        <v>192</v>
      </c>
      <c r="F17" t="s">
        <v>208</v>
      </c>
      <c r="G17" t="s">
        <v>225</v>
      </c>
      <c r="H17" t="s">
        <v>225</v>
      </c>
    </row>
    <row r="18" spans="1:27" x14ac:dyDescent="0.3">
      <c r="B18" t="s">
        <v>161</v>
      </c>
      <c r="C18" t="s">
        <v>166</v>
      </c>
      <c r="D18" t="s">
        <v>180</v>
      </c>
      <c r="E18" t="s">
        <v>193</v>
      </c>
      <c r="F18" t="s">
        <v>209</v>
      </c>
      <c r="G18" t="s">
        <v>226</v>
      </c>
      <c r="H18" t="s">
        <v>226</v>
      </c>
    </row>
    <row r="19" spans="1:27" x14ac:dyDescent="0.3">
      <c r="B19" t="s">
        <v>150</v>
      </c>
      <c r="C19" t="s">
        <v>167</v>
      </c>
      <c r="D19" t="s">
        <v>181</v>
      </c>
      <c r="E19" t="s">
        <v>194</v>
      </c>
      <c r="F19" t="s">
        <v>210</v>
      </c>
      <c r="G19" t="s">
        <v>227</v>
      </c>
      <c r="H19" t="s">
        <v>227</v>
      </c>
    </row>
    <row r="20" spans="1:27" x14ac:dyDescent="0.3">
      <c r="B20" t="s">
        <v>16</v>
      </c>
      <c r="C20" t="s">
        <v>168</v>
      </c>
      <c r="D20" t="s">
        <v>182</v>
      </c>
      <c r="E20" t="s">
        <v>35</v>
      </c>
      <c r="F20" t="s">
        <v>211</v>
      </c>
      <c r="G20" t="s">
        <v>158</v>
      </c>
      <c r="H20" t="s">
        <v>158</v>
      </c>
    </row>
    <row r="21" spans="1:27" x14ac:dyDescent="0.3">
      <c r="B21" t="s">
        <v>17</v>
      </c>
      <c r="C21" t="s">
        <v>169</v>
      </c>
      <c r="D21" t="s">
        <v>30</v>
      </c>
      <c r="E21" t="s">
        <v>36</v>
      </c>
      <c r="F21" t="s">
        <v>212</v>
      </c>
      <c r="G21" t="s">
        <v>228</v>
      </c>
      <c r="H21" t="s">
        <v>228</v>
      </c>
    </row>
    <row r="22" spans="1:27" x14ac:dyDescent="0.3">
      <c r="B22" t="s">
        <v>18</v>
      </c>
      <c r="C22" t="s">
        <v>170</v>
      </c>
      <c r="D22" t="s">
        <v>183</v>
      </c>
      <c r="E22" t="s">
        <v>195</v>
      </c>
      <c r="F22" t="s">
        <v>213</v>
      </c>
      <c r="G22" t="s">
        <v>213</v>
      </c>
      <c r="H22" t="s">
        <v>213</v>
      </c>
    </row>
    <row r="23" spans="1:27" x14ac:dyDescent="0.3">
      <c r="B23" t="s">
        <v>19</v>
      </c>
      <c r="C23" t="s">
        <v>171</v>
      </c>
      <c r="D23" t="s">
        <v>32</v>
      </c>
      <c r="E23" t="s">
        <v>196</v>
      </c>
      <c r="F23" t="s">
        <v>156</v>
      </c>
      <c r="G23" t="s">
        <v>156</v>
      </c>
      <c r="H23" t="s">
        <v>156</v>
      </c>
    </row>
    <row r="24" spans="1:27" x14ac:dyDescent="0.3">
      <c r="B24" t="s">
        <v>20</v>
      </c>
      <c r="C24" t="s">
        <v>172</v>
      </c>
      <c r="D24" t="s">
        <v>37</v>
      </c>
      <c r="E24" t="s">
        <v>197</v>
      </c>
      <c r="F24" t="s">
        <v>214</v>
      </c>
      <c r="G24" t="s">
        <v>214</v>
      </c>
      <c r="H24" t="s">
        <v>214</v>
      </c>
    </row>
    <row r="25" spans="1:27" x14ac:dyDescent="0.3">
      <c r="B25" t="s">
        <v>162</v>
      </c>
      <c r="C25" t="s">
        <v>27</v>
      </c>
      <c r="D25" t="s">
        <v>33</v>
      </c>
      <c r="E25" t="s">
        <v>198</v>
      </c>
      <c r="F25" t="s">
        <v>198</v>
      </c>
      <c r="G25" t="s">
        <v>198</v>
      </c>
      <c r="H25" t="s">
        <v>198</v>
      </c>
      <c r="M25" t="s">
        <v>40</v>
      </c>
      <c r="N25" t="s">
        <v>41</v>
      </c>
    </row>
    <row r="26" spans="1:27" x14ac:dyDescent="0.3">
      <c r="B26" t="s">
        <v>21</v>
      </c>
      <c r="C26" t="s">
        <v>21</v>
      </c>
      <c r="D26" t="s">
        <v>21</v>
      </c>
      <c r="E26" t="s">
        <v>21</v>
      </c>
      <c r="F26" t="s">
        <v>21</v>
      </c>
      <c r="G26" t="s">
        <v>21</v>
      </c>
      <c r="H26" t="s">
        <v>21</v>
      </c>
    </row>
    <row r="28" spans="1:27" x14ac:dyDescent="0.3">
      <c r="B28">
        <v>1</v>
      </c>
      <c r="C28">
        <v>0.8</v>
      </c>
      <c r="D28">
        <v>0.6</v>
      </c>
      <c r="E28">
        <v>0.4</v>
      </c>
      <c r="F28">
        <v>0.2</v>
      </c>
      <c r="G28">
        <v>0.1</v>
      </c>
      <c r="H28">
        <v>0</v>
      </c>
    </row>
    <row r="29" spans="1:27" x14ac:dyDescent="0.3">
      <c r="A29" t="str">
        <f>LEFT(B6,4)</f>
        <v>0.00</v>
      </c>
      <c r="B29" t="str">
        <f>RIGHT(B6,4)</f>
        <v>0.00</v>
      </c>
      <c r="C29" t="str">
        <f>B29</f>
        <v>0.00</v>
      </c>
      <c r="D29" t="str">
        <f>B29</f>
        <v>0.00</v>
      </c>
      <c r="E29" t="str">
        <f>B29</f>
        <v>0.00</v>
      </c>
      <c r="F29" t="str">
        <f>B29</f>
        <v>0.00</v>
      </c>
      <c r="G29" t="str">
        <f>B29</f>
        <v>0.00</v>
      </c>
      <c r="H29" t="str">
        <f>B29</f>
        <v>0.00</v>
      </c>
    </row>
    <row r="30" spans="1:27" x14ac:dyDescent="0.3">
      <c r="A30" t="str">
        <f t="shared" ref="A30:A49" si="0">LEFT(B7,4)</f>
        <v>0.05</v>
      </c>
      <c r="B30" t="str">
        <f t="shared" ref="B30:H30" si="1">RIGHT(B7,4)</f>
        <v>0.05</v>
      </c>
      <c r="C30" t="str">
        <f t="shared" si="1"/>
        <v>0.07</v>
      </c>
      <c r="D30" t="str">
        <f t="shared" si="1"/>
        <v>0.08</v>
      </c>
      <c r="E30" t="str">
        <f t="shared" si="1"/>
        <v>0.14</v>
      </c>
      <c r="F30" t="str">
        <f t="shared" si="1"/>
        <v>0.24</v>
      </c>
      <c r="G30" t="str">
        <f t="shared" si="1"/>
        <v>0.38</v>
      </c>
      <c r="H30" t="str">
        <f t="shared" si="1"/>
        <v>0.40</v>
      </c>
    </row>
    <row r="31" spans="1:27" x14ac:dyDescent="0.3">
      <c r="A31" t="str">
        <f t="shared" si="0"/>
        <v>0.10</v>
      </c>
      <c r="B31" t="str">
        <f t="shared" ref="B31:H31" si="2">RIGHT(B8,4)</f>
        <v>0.10</v>
      </c>
      <c r="C31" t="str">
        <f t="shared" si="2"/>
        <v>0.12</v>
      </c>
      <c r="D31" t="str">
        <f t="shared" si="2"/>
        <v>0.15</v>
      </c>
      <c r="E31" t="str">
        <f t="shared" si="2"/>
        <v>0.25</v>
      </c>
      <c r="F31" t="str">
        <f t="shared" si="2"/>
        <v>0.42</v>
      </c>
      <c r="G31" t="str">
        <f t="shared" si="2"/>
        <v>0.59</v>
      </c>
      <c r="H31" t="str">
        <f t="shared" si="2"/>
        <v>0.66</v>
      </c>
      <c r="K31" t="s">
        <v>39</v>
      </c>
    </row>
    <row r="32" spans="1:27" x14ac:dyDescent="0.3">
      <c r="A32" t="str">
        <f t="shared" si="0"/>
        <v>0.15</v>
      </c>
      <c r="B32" t="str">
        <f t="shared" ref="B32:H32" si="3">RIGHT(B9,4)</f>
        <v>0.15</v>
      </c>
      <c r="C32" t="str">
        <f t="shared" si="3"/>
        <v>0.18</v>
      </c>
      <c r="D32" t="str">
        <f t="shared" si="3"/>
        <v>0.22</v>
      </c>
      <c r="E32" t="str">
        <f t="shared" si="3"/>
        <v>0.35</v>
      </c>
      <c r="F32" t="str">
        <f t="shared" si="3"/>
        <v>0.56</v>
      </c>
      <c r="G32" t="str">
        <f t="shared" si="3"/>
        <v>0.73</v>
      </c>
      <c r="H32" t="str">
        <f t="shared" si="3"/>
        <v>0.79</v>
      </c>
      <c r="L32" t="s">
        <v>43</v>
      </c>
      <c r="O32" t="s">
        <v>42</v>
      </c>
      <c r="P32" t="s">
        <v>70</v>
      </c>
      <c r="Q32" t="s">
        <v>52</v>
      </c>
      <c r="R32" t="s">
        <v>56</v>
      </c>
      <c r="S32" t="s">
        <v>53</v>
      </c>
      <c r="T32" t="s">
        <v>43</v>
      </c>
      <c r="U32" t="s">
        <v>48</v>
      </c>
      <c r="V32" t="s">
        <v>49</v>
      </c>
      <c r="Z32" t="s">
        <v>70</v>
      </c>
      <c r="AA32" t="s">
        <v>43</v>
      </c>
    </row>
    <row r="33" spans="1:33" x14ac:dyDescent="0.3">
      <c r="A33" t="str">
        <f t="shared" si="0"/>
        <v>0.20</v>
      </c>
      <c r="B33" t="str">
        <f t="shared" ref="B33:H33" si="4">RIGHT(B10,4)</f>
        <v>0.19</v>
      </c>
      <c r="C33" t="str">
        <f t="shared" si="4"/>
        <v>0.23</v>
      </c>
      <c r="D33" t="str">
        <f t="shared" si="4"/>
        <v>0.29</v>
      </c>
      <c r="E33" t="str">
        <f t="shared" si="4"/>
        <v>0.43</v>
      </c>
      <c r="F33" t="str">
        <f t="shared" si="4"/>
        <v>0.67</v>
      </c>
      <c r="G33" t="str">
        <f t="shared" si="4"/>
        <v>0.81</v>
      </c>
      <c r="H33" t="str">
        <f t="shared" si="4"/>
        <v>0.83</v>
      </c>
      <c r="L33" t="s">
        <v>44</v>
      </c>
      <c r="O33" t="s">
        <v>42</v>
      </c>
      <c r="P33" t="s">
        <v>70</v>
      </c>
      <c r="R33" t="s">
        <v>55</v>
      </c>
      <c r="S33" t="s">
        <v>54</v>
      </c>
      <c r="T33" t="s">
        <v>43</v>
      </c>
      <c r="U33" t="s">
        <v>51</v>
      </c>
      <c r="V33" t="s">
        <v>50</v>
      </c>
    </row>
    <row r="34" spans="1:33" x14ac:dyDescent="0.3">
      <c r="A34" t="str">
        <f t="shared" si="0"/>
        <v>0.25</v>
      </c>
      <c r="B34" t="str">
        <f t="shared" ref="B34:H34" si="5">RIGHT(B11,4)</f>
        <v>0.24</v>
      </c>
      <c r="C34" t="str">
        <f t="shared" si="5"/>
        <v>0.28</v>
      </c>
      <c r="D34" t="str">
        <f t="shared" si="5"/>
        <v>0.36</v>
      </c>
      <c r="E34" t="str">
        <f t="shared" si="5"/>
        <v>0.50</v>
      </c>
      <c r="F34" t="str">
        <f t="shared" si="5"/>
        <v>0.74</v>
      </c>
      <c r="G34" t="str">
        <f t="shared" si="5"/>
        <v>0.83</v>
      </c>
      <c r="H34" t="str">
        <f t="shared" si="5"/>
        <v>0.84</v>
      </c>
      <c r="O34" t="s">
        <v>42</v>
      </c>
      <c r="P34" t="s">
        <v>70</v>
      </c>
      <c r="U34" t="s">
        <v>57</v>
      </c>
      <c r="V34" t="s">
        <v>58</v>
      </c>
      <c r="W34" t="s">
        <v>59</v>
      </c>
    </row>
    <row r="35" spans="1:33" x14ac:dyDescent="0.3">
      <c r="A35" t="str">
        <f t="shared" si="0"/>
        <v>0.30</v>
      </c>
      <c r="B35" t="str">
        <f t="shared" ref="B35:H35" si="6">RIGHT(B12,4)</f>
        <v>0.28</v>
      </c>
      <c r="C35" t="str">
        <f t="shared" si="6"/>
        <v>0.33</v>
      </c>
      <c r="D35" t="str">
        <f t="shared" si="6"/>
        <v>0.42</v>
      </c>
      <c r="E35" t="str">
        <f t="shared" si="6"/>
        <v>0.56</v>
      </c>
      <c r="F35" t="str">
        <f t="shared" si="6"/>
        <v>0.77</v>
      </c>
      <c r="G35" t="str">
        <f t="shared" si="6"/>
        <v>0.84</v>
      </c>
      <c r="H35" t="str">
        <f t="shared" si="6"/>
        <v>0.85</v>
      </c>
      <c r="L35" t="s">
        <v>45</v>
      </c>
      <c r="O35" t="s">
        <v>42</v>
      </c>
      <c r="P35" t="s">
        <v>70</v>
      </c>
    </row>
    <row r="36" spans="1:33" x14ac:dyDescent="0.3">
      <c r="A36" t="str">
        <f t="shared" si="0"/>
        <v>0.35</v>
      </c>
      <c r="B36" t="str">
        <f t="shared" ref="B36:H36" si="7">RIGHT(B13,4)</f>
        <v>0.31</v>
      </c>
      <c r="C36" t="str">
        <f t="shared" si="7"/>
        <v>0.37</v>
      </c>
      <c r="D36" t="str">
        <f t="shared" si="7"/>
        <v>0.48</v>
      </c>
      <c r="E36" t="str">
        <f t="shared" si="7"/>
        <v>0.62</v>
      </c>
      <c r="F36" t="str">
        <f t="shared" si="7"/>
        <v>0.80</v>
      </c>
      <c r="G36" t="str">
        <f t="shared" si="7"/>
        <v>0.85</v>
      </c>
      <c r="H36" t="str">
        <f t="shared" si="7"/>
        <v>0.85</v>
      </c>
      <c r="L36" t="s">
        <v>46</v>
      </c>
      <c r="O36" t="s">
        <v>42</v>
      </c>
      <c r="P36" t="s">
        <v>70</v>
      </c>
      <c r="Q36" t="s">
        <v>60</v>
      </c>
      <c r="S36" t="s">
        <v>61</v>
      </c>
      <c r="U36" t="s">
        <v>62</v>
      </c>
      <c r="V36" t="s">
        <v>65</v>
      </c>
    </row>
    <row r="37" spans="1:33" x14ac:dyDescent="0.3">
      <c r="A37" t="str">
        <f t="shared" si="0"/>
        <v>0.40</v>
      </c>
      <c r="B37" t="str">
        <f t="shared" ref="B37:H37" si="8">RIGHT(B14,4)</f>
        <v>0.34</v>
      </c>
      <c r="C37" t="str">
        <f t="shared" si="8"/>
        <v>0.41</v>
      </c>
      <c r="D37" t="str">
        <f t="shared" si="8"/>
        <v>0.52</v>
      </c>
      <c r="E37" t="str">
        <f t="shared" si="8"/>
        <v>0.66</v>
      </c>
      <c r="F37" t="str">
        <f t="shared" si="8"/>
        <v>0.81</v>
      </c>
      <c r="G37" t="str">
        <f t="shared" si="8"/>
        <v>0.86</v>
      </c>
      <c r="H37" t="str">
        <f t="shared" si="8"/>
        <v>0.86</v>
      </c>
      <c r="L37" t="s">
        <v>44</v>
      </c>
      <c r="O37" t="s">
        <v>42</v>
      </c>
      <c r="P37" t="s">
        <v>70</v>
      </c>
      <c r="U37" t="s">
        <v>63</v>
      </c>
      <c r="V37" t="s">
        <v>64</v>
      </c>
      <c r="AD37" t="s">
        <v>42</v>
      </c>
    </row>
    <row r="38" spans="1:33" x14ac:dyDescent="0.3">
      <c r="A38" t="str">
        <f t="shared" si="0"/>
        <v>0.45</v>
      </c>
      <c r="B38" t="str">
        <f t="shared" ref="B38:H38" si="9">RIGHT(B15,4)</f>
        <v>0.37</v>
      </c>
      <c r="C38" t="str">
        <f t="shared" si="9"/>
        <v>0.44</v>
      </c>
      <c r="D38" t="str">
        <f t="shared" si="9"/>
        <v>0.56</v>
      </c>
      <c r="E38" t="str">
        <f t="shared" si="9"/>
        <v>0.69</v>
      </c>
      <c r="F38" t="str">
        <f t="shared" si="9"/>
        <v>0.83</v>
      </c>
      <c r="G38" t="str">
        <f t="shared" si="9"/>
        <v>0.86</v>
      </c>
      <c r="H38" t="str">
        <f t="shared" si="9"/>
        <v>0.86</v>
      </c>
      <c r="O38" t="s">
        <v>42</v>
      </c>
      <c r="P38" t="s">
        <v>70</v>
      </c>
      <c r="U38" t="s">
        <v>66</v>
      </c>
      <c r="V38" t="s">
        <v>67</v>
      </c>
      <c r="AA38" t="s">
        <v>42</v>
      </c>
      <c r="AB38" t="s">
        <v>51</v>
      </c>
      <c r="AC38" t="s">
        <v>49</v>
      </c>
    </row>
    <row r="39" spans="1:33" x14ac:dyDescent="0.3">
      <c r="A39" t="str">
        <f t="shared" si="0"/>
        <v>0.50</v>
      </c>
      <c r="B39" t="str">
        <f>RIGHT(B16,4)</f>
        <v>0.40</v>
      </c>
      <c r="C39" t="str">
        <f t="shared" ref="C39:H39" si="10">RIGHT(C16,4)</f>
        <v>0.47</v>
      </c>
      <c r="D39" t="str">
        <f t="shared" si="10"/>
        <v>0.59</v>
      </c>
      <c r="E39" t="str">
        <f t="shared" si="10"/>
        <v>0.72</v>
      </c>
      <c r="F39" t="str">
        <f t="shared" si="10"/>
        <v>0.84</v>
      </c>
      <c r="G39" t="str">
        <f t="shared" si="10"/>
        <v>0.87</v>
      </c>
      <c r="H39" t="str">
        <f t="shared" si="10"/>
        <v>0.87</v>
      </c>
      <c r="L39" t="s">
        <v>47</v>
      </c>
      <c r="O39" t="s">
        <v>42</v>
      </c>
      <c r="P39" t="s">
        <v>70</v>
      </c>
      <c r="U39" t="s">
        <v>68</v>
      </c>
      <c r="V39" t="s">
        <v>69</v>
      </c>
      <c r="AB39" t="s">
        <v>48</v>
      </c>
      <c r="AC39" t="s">
        <v>50</v>
      </c>
    </row>
    <row r="40" spans="1:33" x14ac:dyDescent="0.3">
      <c r="A40" t="str">
        <f t="shared" si="0"/>
        <v>0.55</v>
      </c>
      <c r="B40" t="str">
        <f t="shared" ref="B40:H40" si="11">RIGHT(B17,4)</f>
        <v>0.44</v>
      </c>
      <c r="C40" t="str">
        <f t="shared" si="11"/>
        <v>0.51</v>
      </c>
      <c r="D40" t="str">
        <f t="shared" si="11"/>
        <v>0.62</v>
      </c>
      <c r="E40" t="str">
        <f t="shared" si="11"/>
        <v>0.74</v>
      </c>
      <c r="F40" t="str">
        <f t="shared" si="11"/>
        <v>0.84</v>
      </c>
      <c r="G40" t="str">
        <f t="shared" si="11"/>
        <v>0.88</v>
      </c>
      <c r="H40" t="str">
        <f t="shared" si="11"/>
        <v>0.88</v>
      </c>
      <c r="O40" t="s">
        <v>42</v>
      </c>
      <c r="AC40" t="s">
        <v>58</v>
      </c>
    </row>
    <row r="41" spans="1:33" x14ac:dyDescent="0.3">
      <c r="A41" t="str">
        <f t="shared" si="0"/>
        <v>0.60</v>
      </c>
      <c r="B41" t="str">
        <f t="shared" ref="B41:H41" si="12">RIGHT(B18,4)</f>
        <v>0.47</v>
      </c>
      <c r="C41" t="str">
        <f t="shared" si="12"/>
        <v>0.55</v>
      </c>
      <c r="D41" t="str">
        <f t="shared" si="12"/>
        <v>0.65</v>
      </c>
      <c r="E41" t="str">
        <f t="shared" si="12"/>
        <v>0.76</v>
      </c>
      <c r="F41" t="str">
        <f t="shared" si="12"/>
        <v>0.85</v>
      </c>
      <c r="G41" t="str">
        <f t="shared" si="12"/>
        <v>0.89</v>
      </c>
      <c r="H41" t="str">
        <f t="shared" si="12"/>
        <v>0.89</v>
      </c>
      <c r="O41" t="s">
        <v>42</v>
      </c>
      <c r="P41" t="s">
        <v>71</v>
      </c>
      <c r="U41" t="s">
        <v>74</v>
      </c>
      <c r="V41" t="s">
        <v>72</v>
      </c>
    </row>
    <row r="42" spans="1:33" x14ac:dyDescent="0.3">
      <c r="A42" t="str">
        <f t="shared" si="0"/>
        <v>0.65</v>
      </c>
      <c r="B42" t="str">
        <f t="shared" ref="B42:H42" si="13">RIGHT(B19,4)</f>
        <v>0.50</v>
      </c>
      <c r="C42" t="str">
        <f t="shared" si="13"/>
        <v>0.58</v>
      </c>
      <c r="D42" t="str">
        <f t="shared" si="13"/>
        <v>0.68</v>
      </c>
      <c r="E42" t="str">
        <f t="shared" si="13"/>
        <v>0.79</v>
      </c>
      <c r="F42" t="str">
        <f t="shared" si="13"/>
        <v>0.86</v>
      </c>
      <c r="G42" t="str">
        <f t="shared" si="13"/>
        <v>0.90</v>
      </c>
      <c r="H42" t="str">
        <f t="shared" si="13"/>
        <v>0.90</v>
      </c>
      <c r="O42" t="s">
        <v>42</v>
      </c>
      <c r="P42" t="s">
        <v>71</v>
      </c>
      <c r="U42" t="s">
        <v>75</v>
      </c>
      <c r="V42" t="s">
        <v>73</v>
      </c>
    </row>
    <row r="43" spans="1:33" x14ac:dyDescent="0.3">
      <c r="A43" t="str">
        <f t="shared" si="0"/>
        <v>0.70</v>
      </c>
      <c r="B43" t="str">
        <f t="shared" ref="B43:H43" si="14">RIGHT(B20,4)</f>
        <v>0.53</v>
      </c>
      <c r="C43" t="str">
        <f t="shared" si="14"/>
        <v>0.63</v>
      </c>
      <c r="D43" t="str">
        <f t="shared" si="14"/>
        <v>0.72</v>
      </c>
      <c r="E43" t="str">
        <f t="shared" si="14"/>
        <v>0.82</v>
      </c>
      <c r="F43" t="str">
        <f t="shared" si="14"/>
        <v>0.87</v>
      </c>
      <c r="G43" t="str">
        <f t="shared" si="14"/>
        <v>0.90</v>
      </c>
      <c r="H43" t="str">
        <f t="shared" si="14"/>
        <v>0.90</v>
      </c>
      <c r="O43" t="s">
        <v>42</v>
      </c>
      <c r="AC43" t="s">
        <v>40</v>
      </c>
      <c r="AD43" t="s">
        <v>41</v>
      </c>
    </row>
    <row r="44" spans="1:33" x14ac:dyDescent="0.3">
      <c r="A44" t="str">
        <f t="shared" si="0"/>
        <v>0.75</v>
      </c>
      <c r="B44" t="str">
        <f t="shared" ref="B44:H44" si="15">RIGHT(B21,4)</f>
        <v>0.58</v>
      </c>
      <c r="C44" t="str">
        <f t="shared" si="15"/>
        <v>0.69</v>
      </c>
      <c r="D44" t="str">
        <f t="shared" si="15"/>
        <v>0.77</v>
      </c>
      <c r="E44" t="str">
        <f t="shared" si="15"/>
        <v>0.84</v>
      </c>
      <c r="F44" t="str">
        <f t="shared" si="15"/>
        <v>0.89</v>
      </c>
      <c r="G44" t="str">
        <f t="shared" si="15"/>
        <v>0.91</v>
      </c>
      <c r="H44" t="str">
        <f t="shared" si="15"/>
        <v>0.91</v>
      </c>
      <c r="O44" t="s">
        <v>42</v>
      </c>
      <c r="P44" t="s">
        <v>79</v>
      </c>
      <c r="U44" t="s">
        <v>76</v>
      </c>
      <c r="V44" t="s">
        <v>77</v>
      </c>
      <c r="W44" t="s">
        <v>40</v>
      </c>
      <c r="AB44" t="s">
        <v>57</v>
      </c>
    </row>
    <row r="45" spans="1:33" x14ac:dyDescent="0.3">
      <c r="A45" t="str">
        <f t="shared" si="0"/>
        <v>0.80</v>
      </c>
      <c r="B45" t="str">
        <f>RIGHT(B22,4)</f>
        <v>0.64</v>
      </c>
      <c r="C45" t="str">
        <f t="shared" ref="C45:H45" si="16">RIGHT(C22,4)</f>
        <v>0.74</v>
      </c>
      <c r="D45" t="str">
        <f t="shared" si="16"/>
        <v>0.83</v>
      </c>
      <c r="E45" t="str">
        <f t="shared" si="16"/>
        <v>0.88</v>
      </c>
      <c r="F45" t="str">
        <f t="shared" si="16"/>
        <v>0.92</v>
      </c>
      <c r="G45" t="str">
        <f t="shared" si="16"/>
        <v>0.92</v>
      </c>
      <c r="H45" t="str">
        <f t="shared" si="16"/>
        <v>0.92</v>
      </c>
      <c r="O45" t="s">
        <v>42</v>
      </c>
      <c r="AB45" t="s">
        <v>66</v>
      </c>
    </row>
    <row r="46" spans="1:33" x14ac:dyDescent="0.3">
      <c r="A46" t="str">
        <f t="shared" si="0"/>
        <v>0.85</v>
      </c>
      <c r="B46" t="str">
        <f t="shared" ref="B46:H46" si="17">RIGHT(B23,4)</f>
        <v>0.71</v>
      </c>
      <c r="C46" t="str">
        <f t="shared" si="17"/>
        <v>0.79</v>
      </c>
      <c r="D46" t="str">
        <f t="shared" si="17"/>
        <v>0.87</v>
      </c>
      <c r="E46" t="str">
        <f t="shared" si="17"/>
        <v>0.91</v>
      </c>
      <c r="F46" t="str">
        <f t="shared" si="17"/>
        <v>0.94</v>
      </c>
      <c r="G46" t="str">
        <f t="shared" si="17"/>
        <v>0.94</v>
      </c>
      <c r="H46" t="str">
        <f t="shared" si="17"/>
        <v>0.94</v>
      </c>
      <c r="O46" t="s">
        <v>42</v>
      </c>
      <c r="P46" t="s">
        <v>79</v>
      </c>
      <c r="U46" t="s">
        <v>76</v>
      </c>
      <c r="V46" t="s">
        <v>78</v>
      </c>
      <c r="W46" t="s">
        <v>41</v>
      </c>
      <c r="AB46" t="s">
        <v>76</v>
      </c>
      <c r="AC46" t="s">
        <v>77</v>
      </c>
    </row>
    <row r="47" spans="1:33" x14ac:dyDescent="0.3">
      <c r="A47" t="str">
        <f t="shared" si="0"/>
        <v>0.90</v>
      </c>
      <c r="B47" t="str">
        <f t="shared" ref="B47:H47" si="18">RIGHT(B24,4)</f>
        <v>0.79</v>
      </c>
      <c r="C47" t="str">
        <f t="shared" si="18"/>
        <v>0.85</v>
      </c>
      <c r="D47" t="str">
        <f t="shared" si="18"/>
        <v>0.91</v>
      </c>
      <c r="E47" t="str">
        <f t="shared" si="18"/>
        <v>0.94</v>
      </c>
      <c r="F47" t="str">
        <f t="shared" si="18"/>
        <v>0.96</v>
      </c>
      <c r="G47" t="str">
        <f t="shared" si="18"/>
        <v>0.96</v>
      </c>
      <c r="H47" t="str">
        <f t="shared" si="18"/>
        <v>0.96</v>
      </c>
      <c r="O47" t="s">
        <v>42</v>
      </c>
    </row>
    <row r="48" spans="1:33" x14ac:dyDescent="0.3">
      <c r="A48" t="str">
        <f t="shared" si="0"/>
        <v>0.95</v>
      </c>
      <c r="B48" t="str">
        <f t="shared" ref="B48:H48" si="19">RIGHT(B25,4)</f>
        <v>0.88</v>
      </c>
      <c r="C48" t="str">
        <f t="shared" si="19"/>
        <v>0.92</v>
      </c>
      <c r="D48" t="str">
        <f t="shared" si="19"/>
        <v>0.95</v>
      </c>
      <c r="E48" t="str">
        <f t="shared" si="19"/>
        <v>0.97</v>
      </c>
      <c r="F48" t="str">
        <f t="shared" si="19"/>
        <v>0.97</v>
      </c>
      <c r="G48" t="str">
        <f t="shared" si="19"/>
        <v>0.97</v>
      </c>
      <c r="H48" t="str">
        <f t="shared" si="19"/>
        <v>0.97</v>
      </c>
      <c r="O48" t="s">
        <v>42</v>
      </c>
      <c r="P48" t="s">
        <v>80</v>
      </c>
      <c r="T48" t="s">
        <v>81</v>
      </c>
      <c r="U48" t="s">
        <v>82</v>
      </c>
      <c r="V48" t="s">
        <v>83</v>
      </c>
      <c r="W48" t="s">
        <v>41</v>
      </c>
      <c r="AC48" t="s">
        <v>94</v>
      </c>
      <c r="AD48" t="s">
        <v>66</v>
      </c>
      <c r="AE48" t="s">
        <v>68</v>
      </c>
      <c r="AF48" t="s">
        <v>57</v>
      </c>
      <c r="AG48" t="s">
        <v>74</v>
      </c>
    </row>
    <row r="49" spans="1:29" x14ac:dyDescent="0.3">
      <c r="A49" t="str">
        <f t="shared" si="0"/>
        <v>1.00</v>
      </c>
      <c r="B49" t="str">
        <f t="shared" ref="B49:H49" si="20">RIGHT(B26,4)</f>
        <v>1.00</v>
      </c>
      <c r="C49" t="str">
        <f t="shared" si="20"/>
        <v>1.00</v>
      </c>
      <c r="D49" t="str">
        <f t="shared" si="20"/>
        <v>1.00</v>
      </c>
      <c r="E49" t="str">
        <f t="shared" si="20"/>
        <v>1.00</v>
      </c>
      <c r="F49" t="str">
        <f t="shared" si="20"/>
        <v>1.00</v>
      </c>
      <c r="G49" t="str">
        <f t="shared" si="20"/>
        <v>1.00</v>
      </c>
      <c r="H49" t="str">
        <f t="shared" si="20"/>
        <v>1.00</v>
      </c>
      <c r="O49" t="s">
        <v>42</v>
      </c>
      <c r="AA49" t="s">
        <v>42</v>
      </c>
      <c r="AB49" t="s">
        <v>40</v>
      </c>
    </row>
    <row r="50" spans="1:29" x14ac:dyDescent="0.3">
      <c r="O50" t="s">
        <v>42</v>
      </c>
      <c r="P50" t="s">
        <v>80</v>
      </c>
      <c r="T50" t="s">
        <v>84</v>
      </c>
      <c r="U50" t="s">
        <v>85</v>
      </c>
      <c r="V50" t="s">
        <v>86</v>
      </c>
      <c r="W50" t="s">
        <v>41</v>
      </c>
    </row>
    <row r="51" spans="1:29" x14ac:dyDescent="0.3">
      <c r="O51" t="s">
        <v>42</v>
      </c>
      <c r="W51" t="s">
        <v>41</v>
      </c>
      <c r="AA51" t="s">
        <v>42</v>
      </c>
      <c r="AB51" t="s">
        <v>41</v>
      </c>
      <c r="AC51" t="s">
        <v>95</v>
      </c>
    </row>
    <row r="52" spans="1:29" x14ac:dyDescent="0.3">
      <c r="A52" t="str">
        <f>A29</f>
        <v>0.00</v>
      </c>
      <c r="B52" t="str">
        <f>H29</f>
        <v>0.00</v>
      </c>
      <c r="C52" t="str">
        <f>G29</f>
        <v>0.00</v>
      </c>
      <c r="D52" t="str">
        <f>F29</f>
        <v>0.00</v>
      </c>
      <c r="E52" t="str">
        <f>E29</f>
        <v>0.00</v>
      </c>
      <c r="F52" t="str">
        <f>D29</f>
        <v>0.00</v>
      </c>
      <c r="G52" t="str">
        <f>C29</f>
        <v>0.00</v>
      </c>
      <c r="H52" t="str">
        <f>B29</f>
        <v>0.00</v>
      </c>
      <c r="O52" t="s">
        <v>42</v>
      </c>
      <c r="P52" t="s">
        <v>80</v>
      </c>
      <c r="T52" t="s">
        <v>84</v>
      </c>
      <c r="U52" t="s">
        <v>87</v>
      </c>
      <c r="V52" t="s">
        <v>88</v>
      </c>
      <c r="W52" t="s">
        <v>41</v>
      </c>
    </row>
    <row r="53" spans="1:29" x14ac:dyDescent="0.3">
      <c r="A53" t="s">
        <v>133</v>
      </c>
      <c r="B53" t="str">
        <f t="shared" ref="B53:B72" si="21">H30</f>
        <v>0.40</v>
      </c>
      <c r="C53" t="str">
        <f t="shared" ref="C53:C72" si="22">G30</f>
        <v>0.38</v>
      </c>
      <c r="D53" t="str">
        <f t="shared" ref="D53:D72" si="23">F30</f>
        <v>0.24</v>
      </c>
      <c r="E53" t="str">
        <f t="shared" ref="E53:E72" si="24">E30</f>
        <v>0.14</v>
      </c>
      <c r="F53" t="str">
        <f t="shared" ref="F53:F72" si="25">D30</f>
        <v>0.08</v>
      </c>
      <c r="G53" t="str">
        <f t="shared" ref="G53:G72" si="26">C30</f>
        <v>0.07</v>
      </c>
      <c r="H53" t="str">
        <f t="shared" ref="H53:H72" si="27">B30</f>
        <v>0.05</v>
      </c>
      <c r="O53" t="s">
        <v>42</v>
      </c>
      <c r="W53" t="s">
        <v>41</v>
      </c>
    </row>
    <row r="54" spans="1:29" x14ac:dyDescent="0.3">
      <c r="A54" t="s">
        <v>140</v>
      </c>
      <c r="B54" t="str">
        <f t="shared" si="21"/>
        <v>0.66</v>
      </c>
      <c r="C54" t="str">
        <f t="shared" si="22"/>
        <v>0.59</v>
      </c>
      <c r="D54" t="str">
        <f t="shared" si="23"/>
        <v>0.42</v>
      </c>
      <c r="E54" t="str">
        <f t="shared" si="24"/>
        <v>0.25</v>
      </c>
      <c r="F54" t="str">
        <f t="shared" si="25"/>
        <v>0.15</v>
      </c>
      <c r="G54" t="str">
        <f t="shared" si="26"/>
        <v>0.12</v>
      </c>
      <c r="H54" t="str">
        <f t="shared" si="27"/>
        <v>0.10</v>
      </c>
      <c r="O54" t="s">
        <v>42</v>
      </c>
      <c r="P54" t="s">
        <v>80</v>
      </c>
      <c r="Q54" t="s">
        <v>89</v>
      </c>
      <c r="T54" t="s">
        <v>91</v>
      </c>
      <c r="U54" t="s">
        <v>87</v>
      </c>
      <c r="V54" t="s">
        <v>93</v>
      </c>
      <c r="W54" t="s">
        <v>41</v>
      </c>
    </row>
    <row r="55" spans="1:29" x14ac:dyDescent="0.3">
      <c r="A55" t="s">
        <v>136</v>
      </c>
      <c r="B55" t="str">
        <f t="shared" si="21"/>
        <v>0.79</v>
      </c>
      <c r="C55" t="str">
        <f t="shared" si="22"/>
        <v>0.73</v>
      </c>
      <c r="D55" t="str">
        <f t="shared" si="23"/>
        <v>0.56</v>
      </c>
      <c r="E55" t="str">
        <f t="shared" si="24"/>
        <v>0.35</v>
      </c>
      <c r="F55" t="str">
        <f t="shared" si="25"/>
        <v>0.22</v>
      </c>
      <c r="G55" t="str">
        <f t="shared" si="26"/>
        <v>0.18</v>
      </c>
      <c r="H55" t="str">
        <f t="shared" si="27"/>
        <v>0.15</v>
      </c>
      <c r="O55" t="s">
        <v>42</v>
      </c>
      <c r="W55" t="s">
        <v>41</v>
      </c>
    </row>
    <row r="56" spans="1:29" x14ac:dyDescent="0.3">
      <c r="A56" t="s">
        <v>141</v>
      </c>
      <c r="B56" t="str">
        <f t="shared" si="21"/>
        <v>0.83</v>
      </c>
      <c r="C56" t="str">
        <f t="shared" si="22"/>
        <v>0.81</v>
      </c>
      <c r="D56" t="str">
        <f t="shared" si="23"/>
        <v>0.67</v>
      </c>
      <c r="E56" t="str">
        <f t="shared" si="24"/>
        <v>0.43</v>
      </c>
      <c r="F56" t="str">
        <f t="shared" si="25"/>
        <v>0.29</v>
      </c>
      <c r="G56" t="str">
        <f t="shared" si="26"/>
        <v>0.23</v>
      </c>
      <c r="H56" t="str">
        <f t="shared" si="27"/>
        <v>0.19</v>
      </c>
      <c r="O56" t="s">
        <v>42</v>
      </c>
      <c r="P56" t="s">
        <v>80</v>
      </c>
      <c r="U56" t="s">
        <v>92</v>
      </c>
      <c r="V56" t="s">
        <v>90</v>
      </c>
      <c r="W56" t="s">
        <v>41</v>
      </c>
    </row>
    <row r="57" spans="1:29" x14ac:dyDescent="0.3">
      <c r="A57" t="s">
        <v>142</v>
      </c>
      <c r="B57" t="str">
        <f t="shared" si="21"/>
        <v>0.84</v>
      </c>
      <c r="C57" t="str">
        <f t="shared" si="22"/>
        <v>0.83</v>
      </c>
      <c r="D57" t="str">
        <f t="shared" si="23"/>
        <v>0.74</v>
      </c>
      <c r="E57" t="str">
        <f t="shared" si="24"/>
        <v>0.50</v>
      </c>
      <c r="F57" t="str">
        <f t="shared" si="25"/>
        <v>0.36</v>
      </c>
      <c r="G57" t="str">
        <f t="shared" si="26"/>
        <v>0.28</v>
      </c>
      <c r="H57" t="str">
        <f t="shared" si="27"/>
        <v>0.24</v>
      </c>
      <c r="O57" t="s">
        <v>42</v>
      </c>
      <c r="W57" t="s">
        <v>41</v>
      </c>
    </row>
    <row r="58" spans="1:29" x14ac:dyDescent="0.3">
      <c r="A58" t="s">
        <v>138</v>
      </c>
      <c r="B58" t="str">
        <f t="shared" si="21"/>
        <v>0.85</v>
      </c>
      <c r="C58" t="str">
        <f t="shared" si="22"/>
        <v>0.84</v>
      </c>
      <c r="D58" t="str">
        <f t="shared" si="23"/>
        <v>0.77</v>
      </c>
      <c r="E58" t="str">
        <f t="shared" si="24"/>
        <v>0.56</v>
      </c>
      <c r="F58" t="str">
        <f t="shared" si="25"/>
        <v>0.42</v>
      </c>
      <c r="G58" t="str">
        <f t="shared" si="26"/>
        <v>0.33</v>
      </c>
      <c r="H58" t="str">
        <f t="shared" si="27"/>
        <v>0.28</v>
      </c>
      <c r="O58" t="s">
        <v>42</v>
      </c>
      <c r="P58" t="s">
        <v>96</v>
      </c>
      <c r="U58" t="s">
        <v>94</v>
      </c>
      <c r="V58" t="s">
        <v>95</v>
      </c>
      <c r="W58" t="s">
        <v>41</v>
      </c>
    </row>
    <row r="59" spans="1:29" x14ac:dyDescent="0.3">
      <c r="A59" t="s">
        <v>143</v>
      </c>
      <c r="B59" t="str">
        <f t="shared" si="21"/>
        <v>0.85</v>
      </c>
      <c r="C59" t="str">
        <f t="shared" si="22"/>
        <v>0.85</v>
      </c>
      <c r="D59" t="str">
        <f t="shared" si="23"/>
        <v>0.80</v>
      </c>
      <c r="E59" t="str">
        <f t="shared" si="24"/>
        <v>0.62</v>
      </c>
      <c r="F59" t="str">
        <f t="shared" si="25"/>
        <v>0.48</v>
      </c>
      <c r="G59" t="str">
        <f t="shared" si="26"/>
        <v>0.37</v>
      </c>
      <c r="H59" t="str">
        <f t="shared" si="27"/>
        <v>0.31</v>
      </c>
      <c r="O59" t="s">
        <v>42</v>
      </c>
      <c r="W59" t="s">
        <v>41</v>
      </c>
    </row>
    <row r="60" spans="1:29" x14ac:dyDescent="0.3">
      <c r="A60" t="s">
        <v>137</v>
      </c>
      <c r="B60" t="str">
        <f t="shared" si="21"/>
        <v>0.86</v>
      </c>
      <c r="C60" t="str">
        <f t="shared" si="22"/>
        <v>0.86</v>
      </c>
      <c r="D60" t="str">
        <f t="shared" si="23"/>
        <v>0.81</v>
      </c>
      <c r="E60" t="str">
        <f t="shared" si="24"/>
        <v>0.66</v>
      </c>
      <c r="F60" t="str">
        <f t="shared" si="25"/>
        <v>0.52</v>
      </c>
      <c r="G60" t="str">
        <f t="shared" si="26"/>
        <v>0.41</v>
      </c>
      <c r="H60" t="str">
        <f t="shared" si="27"/>
        <v>0.34</v>
      </c>
      <c r="O60" t="s">
        <v>42</v>
      </c>
      <c r="P60" t="s">
        <v>97</v>
      </c>
      <c r="R60" t="s">
        <v>99</v>
      </c>
      <c r="T60" t="s">
        <v>109</v>
      </c>
      <c r="U60" t="s">
        <v>98</v>
      </c>
      <c r="V60" t="s">
        <v>100</v>
      </c>
      <c r="W60" t="s">
        <v>41</v>
      </c>
    </row>
    <row r="61" spans="1:29" x14ac:dyDescent="0.3">
      <c r="A61" t="s">
        <v>139</v>
      </c>
      <c r="B61" t="str">
        <f t="shared" si="21"/>
        <v>0.86</v>
      </c>
      <c r="C61" t="str">
        <f t="shared" si="22"/>
        <v>0.86</v>
      </c>
      <c r="D61" t="str">
        <f t="shared" si="23"/>
        <v>0.83</v>
      </c>
      <c r="E61" t="str">
        <f t="shared" si="24"/>
        <v>0.69</v>
      </c>
      <c r="F61" t="str">
        <f t="shared" si="25"/>
        <v>0.56</v>
      </c>
      <c r="G61" t="str">
        <f t="shared" si="26"/>
        <v>0.44</v>
      </c>
      <c r="H61" t="str">
        <f t="shared" si="27"/>
        <v>0.37</v>
      </c>
      <c r="O61" t="s">
        <v>42</v>
      </c>
      <c r="W61" t="s">
        <v>41</v>
      </c>
    </row>
    <row r="62" spans="1:29" x14ac:dyDescent="0.3">
      <c r="A62" t="s">
        <v>128</v>
      </c>
      <c r="B62" t="str">
        <f t="shared" si="21"/>
        <v>0.87</v>
      </c>
      <c r="C62" t="str">
        <f t="shared" si="22"/>
        <v>0.87</v>
      </c>
      <c r="D62" t="str">
        <f t="shared" si="23"/>
        <v>0.84</v>
      </c>
      <c r="E62" t="str">
        <f t="shared" si="24"/>
        <v>0.72</v>
      </c>
      <c r="F62" t="str">
        <f t="shared" si="25"/>
        <v>0.59</v>
      </c>
      <c r="G62" t="str">
        <f t="shared" si="26"/>
        <v>0.47</v>
      </c>
      <c r="H62" t="str">
        <f t="shared" si="27"/>
        <v>0.40</v>
      </c>
      <c r="O62" t="s">
        <v>42</v>
      </c>
      <c r="P62" t="s">
        <v>97</v>
      </c>
      <c r="R62" t="s">
        <v>101</v>
      </c>
      <c r="T62" t="s">
        <v>110</v>
      </c>
      <c r="U62" t="s">
        <v>104</v>
      </c>
      <c r="V62" t="s">
        <v>102</v>
      </c>
      <c r="W62" t="s">
        <v>41</v>
      </c>
    </row>
    <row r="63" spans="1:29" x14ac:dyDescent="0.3">
      <c r="A63" t="s">
        <v>144</v>
      </c>
      <c r="B63" t="str">
        <f t="shared" si="21"/>
        <v>0.88</v>
      </c>
      <c r="C63" t="str">
        <f t="shared" si="22"/>
        <v>0.88</v>
      </c>
      <c r="D63" t="str">
        <f t="shared" si="23"/>
        <v>0.84</v>
      </c>
      <c r="E63" t="str">
        <f t="shared" si="24"/>
        <v>0.74</v>
      </c>
      <c r="F63" t="str">
        <f t="shared" si="25"/>
        <v>0.62</v>
      </c>
      <c r="G63" t="str">
        <f t="shared" si="26"/>
        <v>0.51</v>
      </c>
      <c r="H63" t="str">
        <f t="shared" si="27"/>
        <v>0.44</v>
      </c>
      <c r="O63" t="s">
        <v>42</v>
      </c>
      <c r="P63" t="s">
        <v>97</v>
      </c>
      <c r="U63" t="s">
        <v>98</v>
      </c>
      <c r="V63" t="s">
        <v>103</v>
      </c>
      <c r="W63" t="s">
        <v>41</v>
      </c>
    </row>
    <row r="64" spans="1:29" x14ac:dyDescent="0.3">
      <c r="A64" t="s">
        <v>145</v>
      </c>
      <c r="B64" t="str">
        <f t="shared" si="21"/>
        <v>0.89</v>
      </c>
      <c r="C64" t="str">
        <f t="shared" si="22"/>
        <v>0.89</v>
      </c>
      <c r="D64" t="str">
        <f t="shared" si="23"/>
        <v>0.85</v>
      </c>
      <c r="E64" t="str">
        <f t="shared" si="24"/>
        <v>0.76</v>
      </c>
      <c r="F64" t="str">
        <f t="shared" si="25"/>
        <v>0.65</v>
      </c>
      <c r="G64" t="str">
        <f t="shared" si="26"/>
        <v>0.55</v>
      </c>
      <c r="H64" t="str">
        <f t="shared" si="27"/>
        <v>0.47</v>
      </c>
      <c r="O64" t="s">
        <v>42</v>
      </c>
    </row>
    <row r="65" spans="1:23" x14ac:dyDescent="0.3">
      <c r="A65" t="s">
        <v>134</v>
      </c>
      <c r="B65" t="str">
        <f t="shared" si="21"/>
        <v>0.90</v>
      </c>
      <c r="C65" t="str">
        <f t="shared" si="22"/>
        <v>0.90</v>
      </c>
      <c r="D65" t="str">
        <f t="shared" si="23"/>
        <v>0.86</v>
      </c>
      <c r="E65" t="str">
        <f t="shared" si="24"/>
        <v>0.79</v>
      </c>
      <c r="F65" t="str">
        <f t="shared" si="25"/>
        <v>0.68</v>
      </c>
      <c r="G65" t="str">
        <f t="shared" si="26"/>
        <v>0.58</v>
      </c>
      <c r="H65" t="str">
        <f t="shared" si="27"/>
        <v>0.50</v>
      </c>
      <c r="O65" t="s">
        <v>42</v>
      </c>
    </row>
    <row r="66" spans="1:23" x14ac:dyDescent="0.3">
      <c r="A66" t="s">
        <v>129</v>
      </c>
      <c r="B66" t="str">
        <f t="shared" si="21"/>
        <v>0.90</v>
      </c>
      <c r="C66" t="str">
        <f t="shared" si="22"/>
        <v>0.90</v>
      </c>
      <c r="D66" t="str">
        <f t="shared" si="23"/>
        <v>0.87</v>
      </c>
      <c r="E66" t="str">
        <f t="shared" si="24"/>
        <v>0.82</v>
      </c>
      <c r="F66" t="str">
        <f t="shared" si="25"/>
        <v>0.72</v>
      </c>
      <c r="G66" t="str">
        <f t="shared" si="26"/>
        <v>0.63</v>
      </c>
      <c r="H66" t="str">
        <f t="shared" si="27"/>
        <v>0.53</v>
      </c>
      <c r="O66" t="s">
        <v>42</v>
      </c>
      <c r="P66" t="s">
        <v>70</v>
      </c>
      <c r="U66" t="s">
        <v>106</v>
      </c>
      <c r="V66" t="s">
        <v>105</v>
      </c>
      <c r="W66" t="s">
        <v>40</v>
      </c>
    </row>
    <row r="67" spans="1:23" x14ac:dyDescent="0.3">
      <c r="A67" t="s">
        <v>146</v>
      </c>
      <c r="B67" t="str">
        <f t="shared" si="21"/>
        <v>0.91</v>
      </c>
      <c r="C67" t="str">
        <f t="shared" si="22"/>
        <v>0.91</v>
      </c>
      <c r="D67" t="str">
        <f t="shared" si="23"/>
        <v>0.89</v>
      </c>
      <c r="E67" t="str">
        <f t="shared" si="24"/>
        <v>0.84</v>
      </c>
      <c r="F67" t="str">
        <f t="shared" si="25"/>
        <v>0.77</v>
      </c>
      <c r="G67" t="str">
        <f t="shared" si="26"/>
        <v>0.69</v>
      </c>
      <c r="H67" t="str">
        <f t="shared" si="27"/>
        <v>0.58</v>
      </c>
      <c r="O67" t="s">
        <v>42</v>
      </c>
    </row>
    <row r="68" spans="1:23" x14ac:dyDescent="0.3">
      <c r="A68" t="s">
        <v>130</v>
      </c>
      <c r="B68" t="str">
        <f t="shared" si="21"/>
        <v>0.92</v>
      </c>
      <c r="C68" t="str">
        <f t="shared" si="22"/>
        <v>0.92</v>
      </c>
      <c r="D68" t="str">
        <f t="shared" si="23"/>
        <v>0.92</v>
      </c>
      <c r="E68" t="str">
        <f t="shared" si="24"/>
        <v>0.88</v>
      </c>
      <c r="F68" t="str">
        <f t="shared" si="25"/>
        <v>0.83</v>
      </c>
      <c r="G68" t="str">
        <f t="shared" si="26"/>
        <v>0.74</v>
      </c>
      <c r="H68" t="str">
        <f t="shared" si="27"/>
        <v>0.64</v>
      </c>
      <c r="O68" t="s">
        <v>42</v>
      </c>
      <c r="P68" t="s">
        <v>70</v>
      </c>
      <c r="U68" t="s">
        <v>107</v>
      </c>
      <c r="V68" t="s">
        <v>108</v>
      </c>
      <c r="W68" t="s">
        <v>40</v>
      </c>
    </row>
    <row r="69" spans="1:23" x14ac:dyDescent="0.3">
      <c r="A69" t="s">
        <v>147</v>
      </c>
      <c r="B69" t="str">
        <f t="shared" si="21"/>
        <v>0.94</v>
      </c>
      <c r="C69" t="str">
        <f t="shared" si="22"/>
        <v>0.94</v>
      </c>
      <c r="D69" t="str">
        <f t="shared" si="23"/>
        <v>0.94</v>
      </c>
      <c r="E69" t="str">
        <f t="shared" si="24"/>
        <v>0.91</v>
      </c>
      <c r="F69" t="str">
        <f t="shared" si="25"/>
        <v>0.87</v>
      </c>
      <c r="G69" t="str">
        <f t="shared" si="26"/>
        <v>0.79</v>
      </c>
      <c r="H69" t="str">
        <f t="shared" si="27"/>
        <v>0.71</v>
      </c>
      <c r="O69" t="s">
        <v>42</v>
      </c>
    </row>
    <row r="70" spans="1:23" x14ac:dyDescent="0.3">
      <c r="A70" t="s">
        <v>135</v>
      </c>
      <c r="B70" t="str">
        <f t="shared" si="21"/>
        <v>0.96</v>
      </c>
      <c r="C70" t="str">
        <f t="shared" si="22"/>
        <v>0.96</v>
      </c>
      <c r="D70" t="str">
        <f t="shared" si="23"/>
        <v>0.96</v>
      </c>
      <c r="E70" t="str">
        <f t="shared" si="24"/>
        <v>0.94</v>
      </c>
      <c r="F70" t="str">
        <f t="shared" si="25"/>
        <v>0.91</v>
      </c>
      <c r="G70" t="str">
        <f t="shared" si="26"/>
        <v>0.85</v>
      </c>
      <c r="H70" t="str">
        <f t="shared" si="27"/>
        <v>0.79</v>
      </c>
      <c r="O70" t="s">
        <v>42</v>
      </c>
      <c r="P70" t="s">
        <v>71</v>
      </c>
      <c r="U70" t="s">
        <v>111</v>
      </c>
      <c r="V70" t="s">
        <v>112</v>
      </c>
      <c r="W70" t="s">
        <v>40</v>
      </c>
    </row>
    <row r="71" spans="1:23" x14ac:dyDescent="0.3">
      <c r="A71" t="s">
        <v>131</v>
      </c>
      <c r="B71" t="str">
        <f t="shared" si="21"/>
        <v>0.97</v>
      </c>
      <c r="C71" t="str">
        <f t="shared" si="22"/>
        <v>0.97</v>
      </c>
      <c r="D71" t="str">
        <f t="shared" si="23"/>
        <v>0.97</v>
      </c>
      <c r="E71" t="str">
        <f t="shared" si="24"/>
        <v>0.97</v>
      </c>
      <c r="F71" t="str">
        <f t="shared" si="25"/>
        <v>0.95</v>
      </c>
      <c r="G71" t="str">
        <f t="shared" si="26"/>
        <v>0.92</v>
      </c>
      <c r="H71" t="str">
        <f t="shared" si="27"/>
        <v>0.88</v>
      </c>
      <c r="O71" t="s">
        <v>42</v>
      </c>
    </row>
    <row r="72" spans="1:23" x14ac:dyDescent="0.3">
      <c r="A72" t="s">
        <v>132</v>
      </c>
      <c r="B72" t="str">
        <f t="shared" si="21"/>
        <v>1.00</v>
      </c>
      <c r="C72" t="str">
        <f t="shared" si="22"/>
        <v>1.00</v>
      </c>
      <c r="D72" t="str">
        <f t="shared" si="23"/>
        <v>1.00</v>
      </c>
      <c r="E72" t="str">
        <f t="shared" si="24"/>
        <v>1.00</v>
      </c>
      <c r="F72" t="str">
        <f t="shared" si="25"/>
        <v>1.00</v>
      </c>
      <c r="G72" t="str">
        <f t="shared" si="26"/>
        <v>1.00</v>
      </c>
      <c r="H72" t="str">
        <f t="shared" si="27"/>
        <v>1.00</v>
      </c>
      <c r="O72" t="s">
        <v>42</v>
      </c>
      <c r="P72" t="s">
        <v>80</v>
      </c>
      <c r="U72" t="s">
        <v>113</v>
      </c>
      <c r="V72" t="s">
        <v>114</v>
      </c>
      <c r="W72" t="s">
        <v>40</v>
      </c>
    </row>
    <row r="73" spans="1:23" x14ac:dyDescent="0.3">
      <c r="O73" t="s">
        <v>42</v>
      </c>
    </row>
    <row r="74" spans="1:23" x14ac:dyDescent="0.3">
      <c r="O74" t="s">
        <v>42</v>
      </c>
      <c r="U74" t="s">
        <v>115</v>
      </c>
      <c r="V74" t="s">
        <v>116</v>
      </c>
      <c r="W74" t="s">
        <v>40</v>
      </c>
    </row>
    <row r="75" spans="1:23" x14ac:dyDescent="0.3">
      <c r="O75" t="s">
        <v>42</v>
      </c>
    </row>
    <row r="76" spans="1:23" x14ac:dyDescent="0.3">
      <c r="O76" t="s">
        <v>42</v>
      </c>
    </row>
    <row r="77" spans="1:23" x14ac:dyDescent="0.3">
      <c r="O77" t="s">
        <v>118</v>
      </c>
      <c r="P77" t="s">
        <v>70</v>
      </c>
      <c r="R77" t="s">
        <v>117</v>
      </c>
      <c r="U77" t="s">
        <v>48</v>
      </c>
      <c r="V77" t="s">
        <v>121</v>
      </c>
    </row>
    <row r="78" spans="1:23" x14ac:dyDescent="0.3">
      <c r="O78" t="s">
        <v>118</v>
      </c>
      <c r="Q78" t="s">
        <v>119</v>
      </c>
      <c r="R78" t="s">
        <v>120</v>
      </c>
      <c r="U78" t="s">
        <v>51</v>
      </c>
      <c r="V78" t="s">
        <v>122</v>
      </c>
    </row>
    <row r="79" spans="1:23" x14ac:dyDescent="0.3">
      <c r="O79" t="s">
        <v>118</v>
      </c>
      <c r="U79" t="s">
        <v>123</v>
      </c>
      <c r="V79" t="s">
        <v>124</v>
      </c>
    </row>
    <row r="80" spans="1:23" x14ac:dyDescent="0.3">
      <c r="O80" t="s">
        <v>118</v>
      </c>
    </row>
    <row r="81" spans="15:23" x14ac:dyDescent="0.3">
      <c r="O81" t="s">
        <v>118</v>
      </c>
      <c r="U81" t="s">
        <v>81</v>
      </c>
      <c r="V81" t="s">
        <v>125</v>
      </c>
      <c r="W81" t="s">
        <v>41</v>
      </c>
    </row>
    <row r="83" spans="15:23" x14ac:dyDescent="0.3">
      <c r="O83" t="s">
        <v>126</v>
      </c>
      <c r="V83" t="s">
        <v>127</v>
      </c>
    </row>
  </sheetData>
  <sortState xmlns:xlrd2="http://schemas.microsoft.com/office/spreadsheetml/2017/richdata2" ref="B6:B26">
    <sortCondition ref="B6:B26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 Seames</dc:creator>
  <cp:lastModifiedBy>Brad Seames</cp:lastModifiedBy>
  <dcterms:created xsi:type="dcterms:W3CDTF">2025-10-20T02:15:50Z</dcterms:created>
  <dcterms:modified xsi:type="dcterms:W3CDTF">2025-10-30T14:43:28Z</dcterms:modified>
</cp:coreProperties>
</file>