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portfolio\src\components\LugCalculator\"/>
    </mc:Choice>
  </mc:AlternateContent>
  <xr:revisionPtr revIDLastSave="0" documentId="13_ncr:1_{732969A9-EAE0-48C8-B575-BB8EBE62505E}" xr6:coauthVersionLast="47" xr6:coauthVersionMax="47" xr10:uidLastSave="{00000000-0000-0000-0000-000000000000}"/>
  <bookViews>
    <workbookView xWindow="-120" yWindow="-120" windowWidth="20730" windowHeight="11040" activeTab="1" xr2:uid="{B86692AA-6AD1-4F17-95A9-7608939521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1" i="2" l="1"/>
  <c r="J138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76" i="2"/>
  <c r="C77" i="2"/>
  <c r="D77" i="2"/>
  <c r="E77" i="2"/>
  <c r="F77" i="2"/>
  <c r="G77" i="2"/>
  <c r="H77" i="2"/>
  <c r="I77" i="2"/>
  <c r="C78" i="2"/>
  <c r="D78" i="2"/>
  <c r="E78" i="2"/>
  <c r="F78" i="2"/>
  <c r="G78" i="2"/>
  <c r="H78" i="2"/>
  <c r="I78" i="2"/>
  <c r="C79" i="2"/>
  <c r="D79" i="2"/>
  <c r="E79" i="2"/>
  <c r="F79" i="2"/>
  <c r="G79" i="2"/>
  <c r="H79" i="2"/>
  <c r="I79" i="2"/>
  <c r="C80" i="2"/>
  <c r="D80" i="2"/>
  <c r="E80" i="2"/>
  <c r="F80" i="2"/>
  <c r="G80" i="2"/>
  <c r="H80" i="2"/>
  <c r="I80" i="2"/>
  <c r="C81" i="2"/>
  <c r="D81" i="2"/>
  <c r="E81" i="2"/>
  <c r="F81" i="2"/>
  <c r="G81" i="2"/>
  <c r="H81" i="2"/>
  <c r="I81" i="2"/>
  <c r="C82" i="2"/>
  <c r="D82" i="2"/>
  <c r="E82" i="2"/>
  <c r="F82" i="2"/>
  <c r="G82" i="2"/>
  <c r="H82" i="2"/>
  <c r="I82" i="2"/>
  <c r="C83" i="2"/>
  <c r="D83" i="2"/>
  <c r="E83" i="2"/>
  <c r="F83" i="2"/>
  <c r="G83" i="2"/>
  <c r="H83" i="2"/>
  <c r="I83" i="2"/>
  <c r="C84" i="2"/>
  <c r="D84" i="2"/>
  <c r="E84" i="2"/>
  <c r="F84" i="2"/>
  <c r="G84" i="2"/>
  <c r="H84" i="2"/>
  <c r="I84" i="2"/>
  <c r="C85" i="2"/>
  <c r="D85" i="2"/>
  <c r="E85" i="2"/>
  <c r="F85" i="2"/>
  <c r="G85" i="2"/>
  <c r="H85" i="2"/>
  <c r="I85" i="2"/>
  <c r="C86" i="2"/>
  <c r="D86" i="2"/>
  <c r="E86" i="2"/>
  <c r="F86" i="2"/>
  <c r="G86" i="2"/>
  <c r="H86" i="2"/>
  <c r="I86" i="2"/>
  <c r="C87" i="2"/>
  <c r="D87" i="2"/>
  <c r="E87" i="2"/>
  <c r="F87" i="2"/>
  <c r="G87" i="2"/>
  <c r="H87" i="2"/>
  <c r="I87" i="2"/>
  <c r="C88" i="2"/>
  <c r="D88" i="2"/>
  <c r="E88" i="2"/>
  <c r="F88" i="2"/>
  <c r="G88" i="2"/>
  <c r="H88" i="2"/>
  <c r="I88" i="2"/>
  <c r="C89" i="2"/>
  <c r="D89" i="2"/>
  <c r="E89" i="2"/>
  <c r="F89" i="2"/>
  <c r="G89" i="2"/>
  <c r="H89" i="2"/>
  <c r="I89" i="2"/>
  <c r="C90" i="2"/>
  <c r="D90" i="2"/>
  <c r="E90" i="2"/>
  <c r="F90" i="2"/>
  <c r="G90" i="2"/>
  <c r="H90" i="2"/>
  <c r="I90" i="2"/>
  <c r="C91" i="2"/>
  <c r="D91" i="2"/>
  <c r="E91" i="2"/>
  <c r="F91" i="2"/>
  <c r="G91" i="2"/>
  <c r="H91" i="2"/>
  <c r="I91" i="2"/>
  <c r="C92" i="2"/>
  <c r="D92" i="2"/>
  <c r="E92" i="2"/>
  <c r="F92" i="2"/>
  <c r="G92" i="2"/>
  <c r="H92" i="2"/>
  <c r="I92" i="2"/>
  <c r="C93" i="2"/>
  <c r="D93" i="2"/>
  <c r="E93" i="2"/>
  <c r="F93" i="2"/>
  <c r="G93" i="2"/>
  <c r="H93" i="2"/>
  <c r="I93" i="2"/>
  <c r="C94" i="2"/>
  <c r="D94" i="2"/>
  <c r="E94" i="2"/>
  <c r="F94" i="2"/>
  <c r="G94" i="2"/>
  <c r="H94" i="2"/>
  <c r="I94" i="2"/>
  <c r="C95" i="2"/>
  <c r="D95" i="2"/>
  <c r="E95" i="2"/>
  <c r="F95" i="2"/>
  <c r="G95" i="2"/>
  <c r="H95" i="2"/>
  <c r="I95" i="2"/>
  <c r="C96" i="2"/>
  <c r="D96" i="2"/>
  <c r="E96" i="2"/>
  <c r="F96" i="2"/>
  <c r="G96" i="2"/>
  <c r="H96" i="2"/>
  <c r="I96" i="2"/>
  <c r="C97" i="2"/>
  <c r="D97" i="2"/>
  <c r="E97" i="2"/>
  <c r="F97" i="2"/>
  <c r="G97" i="2"/>
  <c r="H97" i="2"/>
  <c r="I97" i="2"/>
  <c r="C98" i="2"/>
  <c r="D98" i="2"/>
  <c r="E98" i="2"/>
  <c r="F98" i="2"/>
  <c r="G98" i="2"/>
  <c r="H98" i="2"/>
  <c r="I98" i="2"/>
  <c r="C99" i="2"/>
  <c r="D99" i="2"/>
  <c r="E99" i="2"/>
  <c r="F99" i="2"/>
  <c r="G99" i="2"/>
  <c r="H99" i="2"/>
  <c r="I99" i="2"/>
  <c r="C100" i="2"/>
  <c r="D100" i="2"/>
  <c r="E100" i="2"/>
  <c r="F100" i="2"/>
  <c r="G100" i="2"/>
  <c r="H100" i="2"/>
  <c r="I100" i="2"/>
  <c r="C101" i="2"/>
  <c r="D101" i="2"/>
  <c r="E101" i="2"/>
  <c r="F101" i="2"/>
  <c r="G101" i="2"/>
  <c r="H101" i="2"/>
  <c r="I101" i="2"/>
  <c r="C102" i="2"/>
  <c r="D102" i="2"/>
  <c r="E102" i="2"/>
  <c r="F102" i="2"/>
  <c r="G102" i="2"/>
  <c r="H102" i="2"/>
  <c r="I102" i="2"/>
  <c r="C103" i="2"/>
  <c r="D103" i="2"/>
  <c r="E103" i="2"/>
  <c r="F103" i="2"/>
  <c r="G103" i="2"/>
  <c r="H103" i="2"/>
  <c r="I103" i="2"/>
  <c r="C104" i="2"/>
  <c r="D104" i="2"/>
  <c r="E104" i="2"/>
  <c r="F104" i="2"/>
  <c r="G104" i="2"/>
  <c r="H104" i="2"/>
  <c r="I104" i="2"/>
  <c r="C105" i="2"/>
  <c r="D105" i="2"/>
  <c r="E105" i="2"/>
  <c r="F105" i="2"/>
  <c r="G105" i="2"/>
  <c r="H105" i="2"/>
  <c r="I105" i="2"/>
  <c r="C106" i="2"/>
  <c r="D106" i="2"/>
  <c r="E106" i="2"/>
  <c r="F106" i="2"/>
  <c r="G106" i="2"/>
  <c r="H106" i="2"/>
  <c r="I106" i="2"/>
  <c r="C107" i="2"/>
  <c r="D107" i="2"/>
  <c r="E107" i="2"/>
  <c r="F107" i="2"/>
  <c r="G107" i="2"/>
  <c r="H107" i="2"/>
  <c r="I107" i="2"/>
  <c r="C108" i="2"/>
  <c r="D108" i="2"/>
  <c r="E108" i="2"/>
  <c r="F108" i="2"/>
  <c r="G108" i="2"/>
  <c r="H108" i="2"/>
  <c r="I108" i="2"/>
  <c r="C109" i="2"/>
  <c r="D109" i="2"/>
  <c r="E109" i="2"/>
  <c r="F109" i="2"/>
  <c r="G109" i="2"/>
  <c r="H109" i="2"/>
  <c r="I109" i="2"/>
  <c r="C110" i="2"/>
  <c r="D110" i="2"/>
  <c r="E110" i="2"/>
  <c r="F110" i="2"/>
  <c r="G110" i="2"/>
  <c r="H110" i="2"/>
  <c r="I110" i="2"/>
  <c r="C111" i="2"/>
  <c r="D111" i="2"/>
  <c r="E111" i="2"/>
  <c r="F111" i="2"/>
  <c r="G111" i="2"/>
  <c r="H111" i="2"/>
  <c r="I111" i="2"/>
  <c r="C112" i="2"/>
  <c r="D112" i="2"/>
  <c r="E112" i="2"/>
  <c r="F112" i="2"/>
  <c r="G112" i="2"/>
  <c r="H112" i="2"/>
  <c r="I112" i="2"/>
  <c r="C113" i="2"/>
  <c r="D113" i="2"/>
  <c r="E113" i="2"/>
  <c r="F113" i="2"/>
  <c r="G113" i="2"/>
  <c r="H113" i="2"/>
  <c r="I113" i="2"/>
  <c r="C114" i="2"/>
  <c r="D114" i="2"/>
  <c r="E114" i="2"/>
  <c r="F114" i="2"/>
  <c r="G114" i="2"/>
  <c r="H114" i="2"/>
  <c r="I114" i="2"/>
  <c r="C115" i="2"/>
  <c r="D115" i="2"/>
  <c r="E115" i="2"/>
  <c r="F115" i="2"/>
  <c r="G115" i="2"/>
  <c r="H115" i="2"/>
  <c r="I115" i="2"/>
  <c r="C116" i="2"/>
  <c r="D116" i="2"/>
  <c r="E116" i="2"/>
  <c r="F116" i="2"/>
  <c r="G116" i="2"/>
  <c r="H116" i="2"/>
  <c r="I116" i="2"/>
  <c r="C117" i="2"/>
  <c r="D117" i="2"/>
  <c r="E117" i="2"/>
  <c r="F117" i="2"/>
  <c r="G117" i="2"/>
  <c r="H117" i="2"/>
  <c r="I117" i="2"/>
  <c r="C118" i="2"/>
  <c r="D118" i="2"/>
  <c r="E118" i="2"/>
  <c r="F118" i="2"/>
  <c r="G118" i="2"/>
  <c r="H118" i="2"/>
  <c r="I118" i="2"/>
  <c r="C119" i="2"/>
  <c r="D119" i="2"/>
  <c r="E119" i="2"/>
  <c r="F119" i="2"/>
  <c r="G119" i="2"/>
  <c r="H119" i="2"/>
  <c r="I119" i="2"/>
  <c r="C120" i="2"/>
  <c r="D120" i="2"/>
  <c r="E120" i="2"/>
  <c r="F120" i="2"/>
  <c r="G120" i="2"/>
  <c r="H120" i="2"/>
  <c r="I120" i="2"/>
  <c r="C121" i="2"/>
  <c r="D121" i="2"/>
  <c r="E121" i="2"/>
  <c r="F121" i="2"/>
  <c r="G121" i="2"/>
  <c r="H121" i="2"/>
  <c r="I121" i="2"/>
  <c r="C122" i="2"/>
  <c r="D122" i="2"/>
  <c r="E122" i="2"/>
  <c r="F122" i="2"/>
  <c r="G122" i="2"/>
  <c r="H122" i="2"/>
  <c r="I122" i="2"/>
  <c r="C123" i="2"/>
  <c r="D123" i="2"/>
  <c r="E123" i="2"/>
  <c r="F123" i="2"/>
  <c r="G123" i="2"/>
  <c r="H123" i="2"/>
  <c r="I123" i="2"/>
  <c r="C124" i="2"/>
  <c r="D124" i="2"/>
  <c r="E124" i="2"/>
  <c r="F124" i="2"/>
  <c r="G124" i="2"/>
  <c r="H124" i="2"/>
  <c r="I124" i="2"/>
  <c r="C125" i="2"/>
  <c r="D125" i="2"/>
  <c r="E125" i="2"/>
  <c r="F125" i="2"/>
  <c r="G125" i="2"/>
  <c r="H125" i="2"/>
  <c r="I125" i="2"/>
  <c r="C126" i="2"/>
  <c r="D126" i="2"/>
  <c r="E126" i="2"/>
  <c r="F126" i="2"/>
  <c r="G126" i="2"/>
  <c r="H126" i="2"/>
  <c r="I126" i="2"/>
  <c r="C127" i="2"/>
  <c r="D127" i="2"/>
  <c r="E127" i="2"/>
  <c r="F127" i="2"/>
  <c r="G127" i="2"/>
  <c r="H127" i="2"/>
  <c r="I127" i="2"/>
  <c r="C128" i="2"/>
  <c r="D128" i="2"/>
  <c r="E128" i="2"/>
  <c r="F128" i="2"/>
  <c r="G128" i="2"/>
  <c r="H128" i="2"/>
  <c r="I128" i="2"/>
  <c r="C129" i="2"/>
  <c r="D129" i="2"/>
  <c r="E129" i="2"/>
  <c r="F129" i="2"/>
  <c r="G129" i="2"/>
  <c r="H129" i="2"/>
  <c r="I129" i="2"/>
  <c r="C130" i="2"/>
  <c r="D130" i="2"/>
  <c r="E130" i="2"/>
  <c r="F130" i="2"/>
  <c r="G130" i="2"/>
  <c r="H130" i="2"/>
  <c r="I130" i="2"/>
  <c r="C131" i="2"/>
  <c r="D131" i="2"/>
  <c r="E131" i="2"/>
  <c r="F131" i="2"/>
  <c r="G131" i="2"/>
  <c r="H131" i="2"/>
  <c r="I131" i="2"/>
  <c r="C132" i="2"/>
  <c r="D132" i="2"/>
  <c r="E132" i="2"/>
  <c r="F132" i="2"/>
  <c r="G132" i="2"/>
  <c r="H132" i="2"/>
  <c r="I132" i="2"/>
  <c r="C133" i="2"/>
  <c r="D133" i="2"/>
  <c r="E133" i="2"/>
  <c r="F133" i="2"/>
  <c r="G133" i="2"/>
  <c r="H133" i="2"/>
  <c r="I133" i="2"/>
  <c r="C134" i="2"/>
  <c r="D134" i="2"/>
  <c r="E134" i="2"/>
  <c r="F134" i="2"/>
  <c r="G134" i="2"/>
  <c r="H134" i="2"/>
  <c r="I134" i="2"/>
  <c r="C135" i="2"/>
  <c r="D135" i="2"/>
  <c r="E135" i="2"/>
  <c r="F135" i="2"/>
  <c r="G135" i="2"/>
  <c r="H135" i="2"/>
  <c r="I135" i="2"/>
  <c r="C136" i="2"/>
  <c r="D136" i="2"/>
  <c r="E136" i="2"/>
  <c r="F136" i="2"/>
  <c r="G136" i="2"/>
  <c r="H136" i="2"/>
  <c r="I136" i="2"/>
  <c r="C137" i="2"/>
  <c r="D137" i="2"/>
  <c r="E137" i="2"/>
  <c r="F137" i="2"/>
  <c r="G137" i="2"/>
  <c r="H137" i="2"/>
  <c r="I137" i="2"/>
  <c r="C138" i="2"/>
  <c r="D138" i="2"/>
  <c r="E138" i="2"/>
  <c r="F138" i="2"/>
  <c r="G138" i="2"/>
  <c r="H138" i="2"/>
  <c r="I138" i="2"/>
  <c r="C76" i="2"/>
  <c r="D76" i="2"/>
  <c r="E76" i="2"/>
  <c r="F76" i="2"/>
  <c r="G76" i="2"/>
  <c r="H76" i="2"/>
  <c r="I76" i="2"/>
  <c r="B70" i="2"/>
  <c r="A6" i="1"/>
  <c r="A7" i="1"/>
  <c r="A8" i="1"/>
  <c r="A9" i="1"/>
  <c r="A10" i="1"/>
  <c r="A11" i="1"/>
  <c r="A12" i="1"/>
  <c r="A13" i="1"/>
  <c r="A14" i="1"/>
  <c r="A5" i="1"/>
</calcChain>
</file>

<file path=xl/sharedStrings.xml><?xml version="1.0" encoding="utf-8"?>
<sst xmlns="http://schemas.openxmlformats.org/spreadsheetml/2006/main" count="39" uniqueCount="30">
  <si>
    <t>Fty_Ftu</t>
  </si>
  <si>
    <t>Fty_E_eu_0</t>
  </si>
  <si>
    <t>Fty_E_eu_1</t>
  </si>
  <si>
    <t>Fty_E_eu_2</t>
  </si>
  <si>
    <t>Fty_E_eu_4</t>
  </si>
  <si>
    <t>Fty_E_eu_6</t>
  </si>
  <si>
    <t>Fty_E_eu_8</t>
  </si>
  <si>
    <t>Fty_E_eu_10</t>
  </si>
  <si>
    <t>Dw</t>
  </si>
  <si>
    <t>0.00, 0.00</t>
  </si>
  <si>
    <t>0.05, 0.05</t>
  </si>
  <si>
    <t>0.10, 0.10</t>
  </si>
  <si>
    <t>0.15, 0.15</t>
  </si>
  <si>
    <t>0.20, 0.19</t>
  </si>
  <si>
    <t>0.25, 0.24</t>
  </si>
  <si>
    <t>0.30, 0.28</t>
  </si>
  <si>
    <t>0.35, 0.31</t>
  </si>
  <si>
    <t>0.40, 0.34</t>
  </si>
  <si>
    <t>0.45, 0.37</t>
  </si>
  <si>
    <t>0.50, 0.40</t>
  </si>
  <si>
    <t>0.55, 0.43</t>
  </si>
  <si>
    <t>0.60, 0.46</t>
  </si>
  <si>
    <t>0.65, 0.50</t>
  </si>
  <si>
    <t>0.70, 0.53</t>
  </si>
  <si>
    <t>0.75, 0.58</t>
  </si>
  <si>
    <t>0.80, 0.64</t>
  </si>
  <si>
    <t>0.85, 0.71</t>
  </si>
  <si>
    <t>0.90, 0.79</t>
  </si>
  <si>
    <t>0.95, 0.88</t>
  </si>
  <si>
    <t>1.00, 1.00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</si>
</sst>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Fty_E_eu_0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Sheet2!$C$4:$C$24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Sheet2!$D$4:$D$24</c:f>
              <c:numCache>
                <c:formatCode>0.00</c:formatCode>
                <c:ptCount val="21"/>
                <c:pt idx="0">
                  <c:v>0</c:v>
                </c:pt>
                <c:pt idx="1">
                  <c:v>0.33</c:v>
                </c:pt>
                <c:pt idx="2">
                  <c:v>0.5</c:v>
                </c:pt>
                <c:pt idx="3">
                  <c:v>0.61</c:v>
                </c:pt>
                <c:pt idx="4">
                  <c:v>0.67</c:v>
                </c:pt>
                <c:pt idx="5">
                  <c:v>0.7</c:v>
                </c:pt>
                <c:pt idx="6">
                  <c:v>0.71</c:v>
                </c:pt>
                <c:pt idx="7">
                  <c:v>0.72</c:v>
                </c:pt>
                <c:pt idx="8">
                  <c:v>0.73</c:v>
                </c:pt>
                <c:pt idx="9">
                  <c:v>0.74</c:v>
                </c:pt>
                <c:pt idx="10">
                  <c:v>0.76</c:v>
                </c:pt>
                <c:pt idx="11">
                  <c:v>0.77</c:v>
                </c:pt>
                <c:pt idx="12">
                  <c:v>0.78</c:v>
                </c:pt>
                <c:pt idx="13">
                  <c:v>0.8</c:v>
                </c:pt>
                <c:pt idx="14">
                  <c:v>0.82</c:v>
                </c:pt>
                <c:pt idx="15">
                  <c:v>0.84</c:v>
                </c:pt>
                <c:pt idx="16">
                  <c:v>0.86</c:v>
                </c:pt>
                <c:pt idx="17">
                  <c:v>0.88</c:v>
                </c:pt>
                <c:pt idx="18">
                  <c:v>0.91</c:v>
                </c:pt>
                <c:pt idx="19">
                  <c:v>0.95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93-4DFD-B753-12F02F11F6BC}"/>
            </c:ext>
          </c:extLst>
        </c:ser>
        <c:ser>
          <c:idx val="1"/>
          <c:order val="1"/>
          <c:tx>
            <c:strRef>
              <c:f>Sheet2!$E$3</c:f>
              <c:strCache>
                <c:ptCount val="1"/>
                <c:pt idx="0">
                  <c:v>Fty_E_eu_1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Sheet2!$C$4:$C$24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Sheet2!$E$4:$E$24</c:f>
              <c:numCache>
                <c:formatCode>0.00</c:formatCode>
                <c:ptCount val="21"/>
                <c:pt idx="0">
                  <c:v>0</c:v>
                </c:pt>
                <c:pt idx="1">
                  <c:v>0.33</c:v>
                </c:pt>
                <c:pt idx="2">
                  <c:v>0.49</c:v>
                </c:pt>
                <c:pt idx="3">
                  <c:v>0.57999999999999996</c:v>
                </c:pt>
                <c:pt idx="4">
                  <c:v>0.65</c:v>
                </c:pt>
                <c:pt idx="5">
                  <c:v>0.68</c:v>
                </c:pt>
                <c:pt idx="6">
                  <c:v>0.69</c:v>
                </c:pt>
                <c:pt idx="7">
                  <c:v>0.7</c:v>
                </c:pt>
                <c:pt idx="8">
                  <c:v>0.71</c:v>
                </c:pt>
                <c:pt idx="9">
                  <c:v>0.72</c:v>
                </c:pt>
                <c:pt idx="10">
                  <c:v>0.74</c:v>
                </c:pt>
                <c:pt idx="11">
                  <c:v>0.76</c:v>
                </c:pt>
                <c:pt idx="12">
                  <c:v>0.77</c:v>
                </c:pt>
                <c:pt idx="13">
                  <c:v>0.79</c:v>
                </c:pt>
                <c:pt idx="14">
                  <c:v>0.81</c:v>
                </c:pt>
                <c:pt idx="15">
                  <c:v>0.82</c:v>
                </c:pt>
                <c:pt idx="16">
                  <c:v>0.84</c:v>
                </c:pt>
                <c:pt idx="17">
                  <c:v>0.87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93-4DFD-B753-12F02F11F6BC}"/>
            </c:ext>
          </c:extLst>
        </c:ser>
        <c:ser>
          <c:idx val="2"/>
          <c:order val="2"/>
          <c:tx>
            <c:strRef>
              <c:f>Sheet2!$F$3</c:f>
              <c:strCache>
                <c:ptCount val="1"/>
                <c:pt idx="0">
                  <c:v>Fty_E_eu_2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Sheet2!$C$4:$C$24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Sheet2!$F$4:$F$24</c:f>
              <c:numCache>
                <c:formatCode>0.00</c:formatCode>
                <c:ptCount val="21"/>
                <c:pt idx="0">
                  <c:v>0</c:v>
                </c:pt>
                <c:pt idx="1">
                  <c:v>0.26</c:v>
                </c:pt>
                <c:pt idx="2">
                  <c:v>0.41</c:v>
                </c:pt>
                <c:pt idx="3">
                  <c:v>0.52</c:v>
                </c:pt>
                <c:pt idx="4">
                  <c:v>0.59</c:v>
                </c:pt>
                <c:pt idx="5">
                  <c:v>0.63</c:v>
                </c:pt>
                <c:pt idx="6">
                  <c:v>0.66</c:v>
                </c:pt>
                <c:pt idx="7">
                  <c:v>0.68</c:v>
                </c:pt>
                <c:pt idx="8">
                  <c:v>0.69</c:v>
                </c:pt>
                <c:pt idx="9">
                  <c:v>0.7</c:v>
                </c:pt>
                <c:pt idx="10">
                  <c:v>0.72</c:v>
                </c:pt>
                <c:pt idx="11">
                  <c:v>0.73</c:v>
                </c:pt>
                <c:pt idx="12">
                  <c:v>0.74</c:v>
                </c:pt>
                <c:pt idx="13">
                  <c:v>0.77</c:v>
                </c:pt>
                <c:pt idx="14">
                  <c:v>0.78</c:v>
                </c:pt>
                <c:pt idx="15">
                  <c:v>0.81</c:v>
                </c:pt>
                <c:pt idx="16">
                  <c:v>0.84</c:v>
                </c:pt>
                <c:pt idx="17">
                  <c:v>0.87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93-4DFD-B753-12F02F11F6BC}"/>
            </c:ext>
          </c:extLst>
        </c:ser>
        <c:ser>
          <c:idx val="3"/>
          <c:order val="3"/>
          <c:tx>
            <c:strRef>
              <c:f>Sheet2!$G$3</c:f>
              <c:strCache>
                <c:ptCount val="1"/>
                <c:pt idx="0">
                  <c:v>Fty_E_eu_4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Sheet2!$C$4:$C$24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Sheet2!$G$4:$G$24</c:f>
              <c:numCache>
                <c:formatCode>0.00</c:formatCode>
                <c:ptCount val="21"/>
                <c:pt idx="0">
                  <c:v>0</c:v>
                </c:pt>
                <c:pt idx="1">
                  <c:v>0.15</c:v>
                </c:pt>
                <c:pt idx="2">
                  <c:v>0.24</c:v>
                </c:pt>
                <c:pt idx="3">
                  <c:v>0.32</c:v>
                </c:pt>
                <c:pt idx="4">
                  <c:v>0.4</c:v>
                </c:pt>
                <c:pt idx="5">
                  <c:v>0.47</c:v>
                </c:pt>
                <c:pt idx="6">
                  <c:v>0.53</c:v>
                </c:pt>
                <c:pt idx="7">
                  <c:v>0.56999999999999995</c:v>
                </c:pt>
                <c:pt idx="8">
                  <c:v>0.61</c:v>
                </c:pt>
                <c:pt idx="9">
                  <c:v>0.63</c:v>
                </c:pt>
                <c:pt idx="10">
                  <c:v>0.64</c:v>
                </c:pt>
                <c:pt idx="11">
                  <c:v>0.66</c:v>
                </c:pt>
                <c:pt idx="12">
                  <c:v>0.68</c:v>
                </c:pt>
                <c:pt idx="13">
                  <c:v>0.7</c:v>
                </c:pt>
                <c:pt idx="14">
                  <c:v>0.73</c:v>
                </c:pt>
                <c:pt idx="15">
                  <c:v>0.77</c:v>
                </c:pt>
                <c:pt idx="16">
                  <c:v>0.8</c:v>
                </c:pt>
                <c:pt idx="17">
                  <c:v>0.84</c:v>
                </c:pt>
                <c:pt idx="18">
                  <c:v>0.88</c:v>
                </c:pt>
                <c:pt idx="19">
                  <c:v>0.94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93-4DFD-B753-12F02F11F6BC}"/>
            </c:ext>
          </c:extLst>
        </c:ser>
        <c:ser>
          <c:idx val="4"/>
          <c:order val="4"/>
          <c:tx>
            <c:strRef>
              <c:f>Sheet2!$H$3</c:f>
              <c:strCache>
                <c:ptCount val="1"/>
                <c:pt idx="0">
                  <c:v>Fty_E_eu_6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Sheet2!$C$4:$C$24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Sheet2!$H$4:$H$24</c:f>
              <c:numCache>
                <c:formatCode>0.00</c:formatCode>
                <c:ptCount val="21"/>
                <c:pt idx="0">
                  <c:v>0</c:v>
                </c:pt>
                <c:pt idx="1">
                  <c:v>0.09</c:v>
                </c:pt>
                <c:pt idx="2">
                  <c:v>0.16</c:v>
                </c:pt>
                <c:pt idx="3">
                  <c:v>0.22</c:v>
                </c:pt>
                <c:pt idx="4">
                  <c:v>0.3</c:v>
                </c:pt>
                <c:pt idx="5">
                  <c:v>0.36</c:v>
                </c:pt>
                <c:pt idx="6">
                  <c:v>0.41</c:v>
                </c:pt>
                <c:pt idx="7">
                  <c:v>0.45</c:v>
                </c:pt>
                <c:pt idx="8">
                  <c:v>0.49</c:v>
                </c:pt>
                <c:pt idx="9">
                  <c:v>0.53</c:v>
                </c:pt>
                <c:pt idx="10">
                  <c:v>0.56000000000000005</c:v>
                </c:pt>
                <c:pt idx="11">
                  <c:v>0.59</c:v>
                </c:pt>
                <c:pt idx="12">
                  <c:v>0.62</c:v>
                </c:pt>
                <c:pt idx="13">
                  <c:v>0.64</c:v>
                </c:pt>
                <c:pt idx="14">
                  <c:v>0.68</c:v>
                </c:pt>
                <c:pt idx="15">
                  <c:v>0.72</c:v>
                </c:pt>
                <c:pt idx="16">
                  <c:v>0.76</c:v>
                </c:pt>
                <c:pt idx="17">
                  <c:v>0.81</c:v>
                </c:pt>
                <c:pt idx="18">
                  <c:v>0.86</c:v>
                </c:pt>
                <c:pt idx="19">
                  <c:v>0.94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93-4DFD-B753-12F02F11F6BC}"/>
            </c:ext>
          </c:extLst>
        </c:ser>
        <c:ser>
          <c:idx val="5"/>
          <c:order val="5"/>
          <c:tx>
            <c:strRef>
              <c:f>Sheet2!$I$3</c:f>
              <c:strCache>
                <c:ptCount val="1"/>
                <c:pt idx="0">
                  <c:v>Fty_E_eu_8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Sheet2!$C$4:$C$24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Sheet2!$I$4:$I$24</c:f>
              <c:numCache>
                <c:formatCode>0.00</c:formatCode>
                <c:ptCount val="21"/>
                <c:pt idx="0">
                  <c:v>0</c:v>
                </c:pt>
                <c:pt idx="1">
                  <c:v>7.0000000000000007E-2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0.28999999999999998</c:v>
                </c:pt>
                <c:pt idx="6">
                  <c:v>0.33</c:v>
                </c:pt>
                <c:pt idx="7">
                  <c:v>0.37</c:v>
                </c:pt>
                <c:pt idx="8">
                  <c:v>0.4</c:v>
                </c:pt>
                <c:pt idx="9">
                  <c:v>0.43</c:v>
                </c:pt>
                <c:pt idx="10">
                  <c:v>0.46</c:v>
                </c:pt>
                <c:pt idx="11">
                  <c:v>0.5</c:v>
                </c:pt>
                <c:pt idx="12">
                  <c:v>0.53</c:v>
                </c:pt>
                <c:pt idx="13">
                  <c:v>0.56999999999999995</c:v>
                </c:pt>
                <c:pt idx="14">
                  <c:v>0.61</c:v>
                </c:pt>
                <c:pt idx="15">
                  <c:v>0.66</c:v>
                </c:pt>
                <c:pt idx="16">
                  <c:v>0.71</c:v>
                </c:pt>
                <c:pt idx="17">
                  <c:v>0.77</c:v>
                </c:pt>
                <c:pt idx="18">
                  <c:v>0.83</c:v>
                </c:pt>
                <c:pt idx="19">
                  <c:v>0.92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93-4DFD-B753-12F02F11F6BC}"/>
            </c:ext>
          </c:extLst>
        </c:ser>
        <c:ser>
          <c:idx val="6"/>
          <c:order val="6"/>
          <c:tx>
            <c:strRef>
              <c:f>Sheet2!$J$3</c:f>
              <c:strCache>
                <c:ptCount val="1"/>
                <c:pt idx="0">
                  <c:v>Fty_E_eu_10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Sheet2!$C$4:$C$24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Sheet2!$J$4:$J$24</c:f>
              <c:numCache>
                <c:formatCode>0.00</c:formatCode>
                <c:ptCount val="21"/>
                <c:pt idx="0">
                  <c:v>0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0.24</c:v>
                </c:pt>
                <c:pt idx="6">
                  <c:v>0.27</c:v>
                </c:pt>
                <c:pt idx="7">
                  <c:v>0.31</c:v>
                </c:pt>
                <c:pt idx="8">
                  <c:v>0.34</c:v>
                </c:pt>
                <c:pt idx="9">
                  <c:v>0.36</c:v>
                </c:pt>
                <c:pt idx="10">
                  <c:v>0.4</c:v>
                </c:pt>
                <c:pt idx="11">
                  <c:v>0.43</c:v>
                </c:pt>
                <c:pt idx="12">
                  <c:v>0.45</c:v>
                </c:pt>
                <c:pt idx="13">
                  <c:v>0.49</c:v>
                </c:pt>
                <c:pt idx="14">
                  <c:v>0.53</c:v>
                </c:pt>
                <c:pt idx="15">
                  <c:v>0.57999999999999996</c:v>
                </c:pt>
                <c:pt idx="16">
                  <c:v>0.64</c:v>
                </c:pt>
                <c:pt idx="17">
                  <c:v>0.71</c:v>
                </c:pt>
                <c:pt idx="18">
                  <c:v>0.79</c:v>
                </c:pt>
                <c:pt idx="19">
                  <c:v>0.89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93-4DFD-B753-12F02F11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739184"/>
        <c:axId val="1635931936"/>
      </c:scatterChart>
      <c:valAx>
        <c:axId val="1670739184"/>
        <c:scaling>
          <c:orientation val="minMax"/>
          <c:max val="1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931936"/>
        <c:crosses val="autoZero"/>
        <c:crossBetween val="midCat"/>
      </c:valAx>
      <c:valAx>
        <c:axId val="1635931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73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Fty_E_eu_0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Sheet2!$C$25:$C$45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Sheet2!$D$25:$D$45</c:f>
              <c:numCache>
                <c:formatCode>0.00</c:formatCode>
                <c:ptCount val="21"/>
                <c:pt idx="0">
                  <c:v>0</c:v>
                </c:pt>
                <c:pt idx="1">
                  <c:v>0.4</c:v>
                </c:pt>
                <c:pt idx="2">
                  <c:v>0.66</c:v>
                </c:pt>
                <c:pt idx="3">
                  <c:v>0.79</c:v>
                </c:pt>
                <c:pt idx="4">
                  <c:v>0.83</c:v>
                </c:pt>
                <c:pt idx="5">
                  <c:v>0.84</c:v>
                </c:pt>
                <c:pt idx="6">
                  <c:v>0.85</c:v>
                </c:pt>
                <c:pt idx="7">
                  <c:v>0.85</c:v>
                </c:pt>
                <c:pt idx="8">
                  <c:v>0.86</c:v>
                </c:pt>
                <c:pt idx="9">
                  <c:v>0.86</c:v>
                </c:pt>
                <c:pt idx="10">
                  <c:v>0.87</c:v>
                </c:pt>
                <c:pt idx="11">
                  <c:v>0.88</c:v>
                </c:pt>
                <c:pt idx="12">
                  <c:v>0.89</c:v>
                </c:pt>
                <c:pt idx="13">
                  <c:v>0.9</c:v>
                </c:pt>
                <c:pt idx="14">
                  <c:v>0.9</c:v>
                </c:pt>
                <c:pt idx="15">
                  <c:v>0.91</c:v>
                </c:pt>
                <c:pt idx="16">
                  <c:v>0.92</c:v>
                </c:pt>
                <c:pt idx="17">
                  <c:v>0.94</c:v>
                </c:pt>
                <c:pt idx="18">
                  <c:v>0.96</c:v>
                </c:pt>
                <c:pt idx="19">
                  <c:v>0.97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93-4DFD-B753-12F02F11F6BC}"/>
            </c:ext>
          </c:extLst>
        </c:ser>
        <c:ser>
          <c:idx val="1"/>
          <c:order val="1"/>
          <c:tx>
            <c:strRef>
              <c:f>Sheet2!$E$3</c:f>
              <c:strCache>
                <c:ptCount val="1"/>
                <c:pt idx="0">
                  <c:v>Fty_E_eu_1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Sheet2!$C$25:$C$45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Sheet2!$E$25:$E$45</c:f>
              <c:numCache>
                <c:formatCode>0.00</c:formatCode>
                <c:ptCount val="21"/>
                <c:pt idx="0">
                  <c:v>0</c:v>
                </c:pt>
                <c:pt idx="1">
                  <c:v>0.38</c:v>
                </c:pt>
                <c:pt idx="2">
                  <c:v>0.59</c:v>
                </c:pt>
                <c:pt idx="3">
                  <c:v>0.73</c:v>
                </c:pt>
                <c:pt idx="4">
                  <c:v>0.81</c:v>
                </c:pt>
                <c:pt idx="5">
                  <c:v>0.83</c:v>
                </c:pt>
                <c:pt idx="6">
                  <c:v>0.84</c:v>
                </c:pt>
                <c:pt idx="7">
                  <c:v>0.85</c:v>
                </c:pt>
                <c:pt idx="8">
                  <c:v>0.86</c:v>
                </c:pt>
                <c:pt idx="9">
                  <c:v>0.86</c:v>
                </c:pt>
                <c:pt idx="10">
                  <c:v>0.87</c:v>
                </c:pt>
                <c:pt idx="11">
                  <c:v>0.88</c:v>
                </c:pt>
                <c:pt idx="12">
                  <c:v>0.89</c:v>
                </c:pt>
                <c:pt idx="13">
                  <c:v>0.9</c:v>
                </c:pt>
                <c:pt idx="14">
                  <c:v>0.9</c:v>
                </c:pt>
                <c:pt idx="15">
                  <c:v>0.91</c:v>
                </c:pt>
                <c:pt idx="16">
                  <c:v>0.92</c:v>
                </c:pt>
                <c:pt idx="17">
                  <c:v>0.94</c:v>
                </c:pt>
                <c:pt idx="18">
                  <c:v>0.96</c:v>
                </c:pt>
                <c:pt idx="19">
                  <c:v>0.97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93-4DFD-B753-12F02F11F6BC}"/>
            </c:ext>
          </c:extLst>
        </c:ser>
        <c:ser>
          <c:idx val="2"/>
          <c:order val="2"/>
          <c:tx>
            <c:strRef>
              <c:f>Sheet2!$F$3</c:f>
              <c:strCache>
                <c:ptCount val="1"/>
                <c:pt idx="0">
                  <c:v>Fty_E_eu_2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Sheet2!$C$25:$C$45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Sheet2!$F$25:$F$45</c:f>
              <c:numCache>
                <c:formatCode>0.00</c:formatCode>
                <c:ptCount val="21"/>
                <c:pt idx="0">
                  <c:v>0</c:v>
                </c:pt>
                <c:pt idx="1">
                  <c:v>0.24</c:v>
                </c:pt>
                <c:pt idx="2">
                  <c:v>0.42</c:v>
                </c:pt>
                <c:pt idx="3">
                  <c:v>0.56000000000000005</c:v>
                </c:pt>
                <c:pt idx="4">
                  <c:v>0.67</c:v>
                </c:pt>
                <c:pt idx="5">
                  <c:v>0.74</c:v>
                </c:pt>
                <c:pt idx="6">
                  <c:v>0.77</c:v>
                </c:pt>
                <c:pt idx="7">
                  <c:v>0.8</c:v>
                </c:pt>
                <c:pt idx="8">
                  <c:v>0.81</c:v>
                </c:pt>
                <c:pt idx="9">
                  <c:v>0.83</c:v>
                </c:pt>
                <c:pt idx="10">
                  <c:v>0.84</c:v>
                </c:pt>
                <c:pt idx="11">
                  <c:v>0.84</c:v>
                </c:pt>
                <c:pt idx="12">
                  <c:v>0.85</c:v>
                </c:pt>
                <c:pt idx="13">
                  <c:v>0.86</c:v>
                </c:pt>
                <c:pt idx="14">
                  <c:v>0.87</c:v>
                </c:pt>
                <c:pt idx="15">
                  <c:v>0.89</c:v>
                </c:pt>
                <c:pt idx="16">
                  <c:v>0.92</c:v>
                </c:pt>
                <c:pt idx="17">
                  <c:v>0.94</c:v>
                </c:pt>
                <c:pt idx="18">
                  <c:v>0.96</c:v>
                </c:pt>
                <c:pt idx="19">
                  <c:v>0.97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93-4DFD-B753-12F02F11F6BC}"/>
            </c:ext>
          </c:extLst>
        </c:ser>
        <c:ser>
          <c:idx val="3"/>
          <c:order val="3"/>
          <c:tx>
            <c:strRef>
              <c:f>Sheet2!$G$3</c:f>
              <c:strCache>
                <c:ptCount val="1"/>
                <c:pt idx="0">
                  <c:v>Fty_E_eu_4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Sheet2!$C$25:$C$45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Sheet2!$G$25:$G$45</c:f>
              <c:numCache>
                <c:formatCode>0.00</c:formatCode>
                <c:ptCount val="21"/>
                <c:pt idx="0">
                  <c:v>0</c:v>
                </c:pt>
                <c:pt idx="1">
                  <c:v>0.14000000000000001</c:v>
                </c:pt>
                <c:pt idx="2">
                  <c:v>0.25</c:v>
                </c:pt>
                <c:pt idx="3">
                  <c:v>0.35</c:v>
                </c:pt>
                <c:pt idx="4">
                  <c:v>0.43</c:v>
                </c:pt>
                <c:pt idx="5">
                  <c:v>0.5</c:v>
                </c:pt>
                <c:pt idx="6">
                  <c:v>0.56000000000000005</c:v>
                </c:pt>
                <c:pt idx="7">
                  <c:v>0.62</c:v>
                </c:pt>
                <c:pt idx="8">
                  <c:v>0.66</c:v>
                </c:pt>
                <c:pt idx="9">
                  <c:v>0.69</c:v>
                </c:pt>
                <c:pt idx="10">
                  <c:v>0.72</c:v>
                </c:pt>
                <c:pt idx="11">
                  <c:v>0.74</c:v>
                </c:pt>
                <c:pt idx="12">
                  <c:v>0.76</c:v>
                </c:pt>
                <c:pt idx="13">
                  <c:v>0.79</c:v>
                </c:pt>
                <c:pt idx="14">
                  <c:v>0.82</c:v>
                </c:pt>
                <c:pt idx="15">
                  <c:v>0.84</c:v>
                </c:pt>
                <c:pt idx="16">
                  <c:v>0.88</c:v>
                </c:pt>
                <c:pt idx="17">
                  <c:v>0.91</c:v>
                </c:pt>
                <c:pt idx="18">
                  <c:v>0.94</c:v>
                </c:pt>
                <c:pt idx="19">
                  <c:v>0.97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93-4DFD-B753-12F02F11F6BC}"/>
            </c:ext>
          </c:extLst>
        </c:ser>
        <c:ser>
          <c:idx val="4"/>
          <c:order val="4"/>
          <c:tx>
            <c:strRef>
              <c:f>Sheet2!$H$3</c:f>
              <c:strCache>
                <c:ptCount val="1"/>
                <c:pt idx="0">
                  <c:v>Fty_E_eu_6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Sheet2!$C$25:$C$45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Sheet2!$H$25:$H$45</c:f>
              <c:numCache>
                <c:formatCode>0.00</c:formatCode>
                <c:ptCount val="21"/>
                <c:pt idx="0">
                  <c:v>0</c:v>
                </c:pt>
                <c:pt idx="1">
                  <c:v>0.08</c:v>
                </c:pt>
                <c:pt idx="2">
                  <c:v>0.15</c:v>
                </c:pt>
                <c:pt idx="3">
                  <c:v>0.22</c:v>
                </c:pt>
                <c:pt idx="4">
                  <c:v>0.28999999999999998</c:v>
                </c:pt>
                <c:pt idx="5">
                  <c:v>0.36</c:v>
                </c:pt>
                <c:pt idx="6">
                  <c:v>0.42</c:v>
                </c:pt>
                <c:pt idx="7">
                  <c:v>0.48</c:v>
                </c:pt>
                <c:pt idx="8">
                  <c:v>0.52</c:v>
                </c:pt>
                <c:pt idx="9">
                  <c:v>0.56000000000000005</c:v>
                </c:pt>
                <c:pt idx="10">
                  <c:v>0.59</c:v>
                </c:pt>
                <c:pt idx="11">
                  <c:v>0.62</c:v>
                </c:pt>
                <c:pt idx="12">
                  <c:v>0.65</c:v>
                </c:pt>
                <c:pt idx="13">
                  <c:v>0.68</c:v>
                </c:pt>
                <c:pt idx="14">
                  <c:v>0.72</c:v>
                </c:pt>
                <c:pt idx="15">
                  <c:v>0.77</c:v>
                </c:pt>
                <c:pt idx="16">
                  <c:v>0.83</c:v>
                </c:pt>
                <c:pt idx="17">
                  <c:v>0.87</c:v>
                </c:pt>
                <c:pt idx="18">
                  <c:v>0.91</c:v>
                </c:pt>
                <c:pt idx="19">
                  <c:v>0.95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93-4DFD-B753-12F02F11F6BC}"/>
            </c:ext>
          </c:extLst>
        </c:ser>
        <c:ser>
          <c:idx val="5"/>
          <c:order val="5"/>
          <c:tx>
            <c:strRef>
              <c:f>Sheet2!$I$3</c:f>
              <c:strCache>
                <c:ptCount val="1"/>
                <c:pt idx="0">
                  <c:v>Fty_E_eu_8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Sheet2!$C$25:$C$45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Sheet2!$I$25:$I$45</c:f>
              <c:numCache>
                <c:formatCode>0.00</c:formatCode>
                <c:ptCount val="21"/>
                <c:pt idx="0">
                  <c:v>0</c:v>
                </c:pt>
                <c:pt idx="1">
                  <c:v>7.0000000000000007E-2</c:v>
                </c:pt>
                <c:pt idx="2">
                  <c:v>0.12</c:v>
                </c:pt>
                <c:pt idx="3">
                  <c:v>0.18</c:v>
                </c:pt>
                <c:pt idx="4">
                  <c:v>0.23</c:v>
                </c:pt>
                <c:pt idx="5">
                  <c:v>0.28000000000000003</c:v>
                </c:pt>
                <c:pt idx="6">
                  <c:v>0.33</c:v>
                </c:pt>
                <c:pt idx="7">
                  <c:v>0.37</c:v>
                </c:pt>
                <c:pt idx="8">
                  <c:v>0.41</c:v>
                </c:pt>
                <c:pt idx="9">
                  <c:v>0.44</c:v>
                </c:pt>
                <c:pt idx="10">
                  <c:v>0.47</c:v>
                </c:pt>
                <c:pt idx="11">
                  <c:v>0.51</c:v>
                </c:pt>
                <c:pt idx="12">
                  <c:v>0.55000000000000004</c:v>
                </c:pt>
                <c:pt idx="13">
                  <c:v>0.57999999999999996</c:v>
                </c:pt>
                <c:pt idx="14">
                  <c:v>0.63</c:v>
                </c:pt>
                <c:pt idx="15">
                  <c:v>0.69</c:v>
                </c:pt>
                <c:pt idx="16">
                  <c:v>0.74</c:v>
                </c:pt>
                <c:pt idx="17">
                  <c:v>0.79</c:v>
                </c:pt>
                <c:pt idx="18">
                  <c:v>0.85</c:v>
                </c:pt>
                <c:pt idx="19">
                  <c:v>0.92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93-4DFD-B753-12F02F11F6BC}"/>
            </c:ext>
          </c:extLst>
        </c:ser>
        <c:ser>
          <c:idx val="6"/>
          <c:order val="6"/>
          <c:tx>
            <c:strRef>
              <c:f>Sheet2!$J$3</c:f>
              <c:strCache>
                <c:ptCount val="1"/>
                <c:pt idx="0">
                  <c:v>Fty_E_eu_10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Sheet2!$C$25:$C$45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Sheet2!$J$25:$J$45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0.24</c:v>
                </c:pt>
                <c:pt idx="6">
                  <c:v>0.28000000000000003</c:v>
                </c:pt>
                <c:pt idx="7">
                  <c:v>0.31</c:v>
                </c:pt>
                <c:pt idx="8">
                  <c:v>0.34</c:v>
                </c:pt>
                <c:pt idx="9">
                  <c:v>0.37</c:v>
                </c:pt>
                <c:pt idx="10">
                  <c:v>0.4</c:v>
                </c:pt>
                <c:pt idx="11">
                  <c:v>0.44</c:v>
                </c:pt>
                <c:pt idx="12">
                  <c:v>0.47</c:v>
                </c:pt>
                <c:pt idx="13">
                  <c:v>0.5</c:v>
                </c:pt>
                <c:pt idx="14">
                  <c:v>0.53</c:v>
                </c:pt>
                <c:pt idx="15">
                  <c:v>0.57999999999999996</c:v>
                </c:pt>
                <c:pt idx="16">
                  <c:v>0.64</c:v>
                </c:pt>
                <c:pt idx="17">
                  <c:v>0.71</c:v>
                </c:pt>
                <c:pt idx="18">
                  <c:v>0.79</c:v>
                </c:pt>
                <c:pt idx="19">
                  <c:v>0.88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93-4DFD-B753-12F02F11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739184"/>
        <c:axId val="1635931936"/>
      </c:scatterChart>
      <c:valAx>
        <c:axId val="1670739184"/>
        <c:scaling>
          <c:orientation val="minMax"/>
          <c:max val="1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931936"/>
        <c:crosses val="autoZero"/>
        <c:crossBetween val="midCat"/>
      </c:valAx>
      <c:valAx>
        <c:axId val="1635931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73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Fty_E_eu_0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Sheet2!$C$46:$C$66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Sheet2!$D$46:$D$66</c:f>
              <c:numCache>
                <c:formatCode>0.00</c:formatCode>
                <c:ptCount val="21"/>
                <c:pt idx="0">
                  <c:v>0</c:v>
                </c:pt>
                <c:pt idx="1">
                  <c:v>0.54</c:v>
                </c:pt>
                <c:pt idx="2">
                  <c:v>0.78</c:v>
                </c:pt>
                <c:pt idx="3">
                  <c:v>0.93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93-4DFD-B753-12F02F11F6BC}"/>
            </c:ext>
          </c:extLst>
        </c:ser>
        <c:ser>
          <c:idx val="1"/>
          <c:order val="1"/>
          <c:tx>
            <c:strRef>
              <c:f>Sheet2!$E$3</c:f>
              <c:strCache>
                <c:ptCount val="1"/>
                <c:pt idx="0">
                  <c:v>Fty_E_eu_1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Sheet2!$C$46:$C$66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Sheet2!$E$46:$E$66</c:f>
              <c:numCache>
                <c:formatCode>0.00</c:formatCode>
                <c:ptCount val="21"/>
                <c:pt idx="0">
                  <c:v>0</c:v>
                </c:pt>
                <c:pt idx="1">
                  <c:v>0.44</c:v>
                </c:pt>
                <c:pt idx="2">
                  <c:v>0.69</c:v>
                </c:pt>
                <c:pt idx="3">
                  <c:v>0.86</c:v>
                </c:pt>
                <c:pt idx="4">
                  <c:v>0.96</c:v>
                </c:pt>
                <c:pt idx="5">
                  <c:v>0.98</c:v>
                </c:pt>
                <c:pt idx="6">
                  <c:v>0.99</c:v>
                </c:pt>
                <c:pt idx="7">
                  <c:v>0.99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93-4DFD-B753-12F02F11F6BC}"/>
            </c:ext>
          </c:extLst>
        </c:ser>
        <c:ser>
          <c:idx val="2"/>
          <c:order val="2"/>
          <c:tx>
            <c:strRef>
              <c:f>Sheet2!$F$3</c:f>
              <c:strCache>
                <c:ptCount val="1"/>
                <c:pt idx="0">
                  <c:v>Fty_E_eu_2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Sheet2!$C$46:$C$66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Sheet2!$F$46:$F$66</c:f>
              <c:numCache>
                <c:formatCode>0.00</c:formatCode>
                <c:ptCount val="21"/>
                <c:pt idx="0">
                  <c:v>0</c:v>
                </c:pt>
                <c:pt idx="1">
                  <c:v>0.26</c:v>
                </c:pt>
                <c:pt idx="2">
                  <c:v>0.44</c:v>
                </c:pt>
                <c:pt idx="3">
                  <c:v>0.57999999999999996</c:v>
                </c:pt>
                <c:pt idx="4">
                  <c:v>0.71</c:v>
                </c:pt>
                <c:pt idx="5">
                  <c:v>0.8</c:v>
                </c:pt>
                <c:pt idx="6">
                  <c:v>0.87</c:v>
                </c:pt>
                <c:pt idx="7">
                  <c:v>0.93</c:v>
                </c:pt>
                <c:pt idx="8">
                  <c:v>0.96</c:v>
                </c:pt>
                <c:pt idx="9">
                  <c:v>0.97</c:v>
                </c:pt>
                <c:pt idx="10">
                  <c:v>0.96</c:v>
                </c:pt>
                <c:pt idx="11">
                  <c:v>0.96</c:v>
                </c:pt>
                <c:pt idx="12">
                  <c:v>0.96</c:v>
                </c:pt>
                <c:pt idx="13">
                  <c:v>0.96</c:v>
                </c:pt>
                <c:pt idx="14">
                  <c:v>0.97</c:v>
                </c:pt>
                <c:pt idx="15">
                  <c:v>0.99</c:v>
                </c:pt>
                <c:pt idx="16">
                  <c:v>1</c:v>
                </c:pt>
                <c:pt idx="17">
                  <c:v>0.99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93-4DFD-B753-12F02F11F6BC}"/>
            </c:ext>
          </c:extLst>
        </c:ser>
        <c:ser>
          <c:idx val="3"/>
          <c:order val="3"/>
          <c:tx>
            <c:strRef>
              <c:f>Sheet2!$G$3</c:f>
              <c:strCache>
                <c:ptCount val="1"/>
                <c:pt idx="0">
                  <c:v>Fty_E_eu_4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Sheet2!$C$46:$C$66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Sheet2!$G$46:$G$66</c:f>
              <c:numCache>
                <c:formatCode>0.00</c:formatCode>
                <c:ptCount val="21"/>
                <c:pt idx="0">
                  <c:v>0</c:v>
                </c:pt>
                <c:pt idx="1">
                  <c:v>0.13</c:v>
                </c:pt>
                <c:pt idx="2">
                  <c:v>0.22</c:v>
                </c:pt>
                <c:pt idx="3">
                  <c:v>0.31</c:v>
                </c:pt>
                <c:pt idx="4">
                  <c:v>0.42</c:v>
                </c:pt>
                <c:pt idx="5">
                  <c:v>0.5</c:v>
                </c:pt>
                <c:pt idx="6">
                  <c:v>0.6</c:v>
                </c:pt>
                <c:pt idx="7">
                  <c:v>0.66</c:v>
                </c:pt>
                <c:pt idx="8">
                  <c:v>0.71</c:v>
                </c:pt>
                <c:pt idx="9">
                  <c:v>0.75</c:v>
                </c:pt>
                <c:pt idx="10">
                  <c:v>0.78</c:v>
                </c:pt>
                <c:pt idx="11">
                  <c:v>0.8</c:v>
                </c:pt>
                <c:pt idx="12">
                  <c:v>0.83</c:v>
                </c:pt>
                <c:pt idx="13">
                  <c:v>0.87</c:v>
                </c:pt>
                <c:pt idx="14">
                  <c:v>0.9</c:v>
                </c:pt>
                <c:pt idx="15">
                  <c:v>0.93</c:v>
                </c:pt>
                <c:pt idx="16">
                  <c:v>0.97</c:v>
                </c:pt>
                <c:pt idx="17">
                  <c:v>0.99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93-4DFD-B753-12F02F11F6BC}"/>
            </c:ext>
          </c:extLst>
        </c:ser>
        <c:ser>
          <c:idx val="4"/>
          <c:order val="4"/>
          <c:tx>
            <c:strRef>
              <c:f>Sheet2!$H$3</c:f>
              <c:strCache>
                <c:ptCount val="1"/>
                <c:pt idx="0">
                  <c:v>Fty_E_eu_6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Sheet2!$C$46:$C$66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Sheet2!$H$46:$H$66</c:f>
              <c:numCache>
                <c:formatCode>0.00</c:formatCode>
                <c:ptCount val="21"/>
                <c:pt idx="0">
                  <c:v>0</c:v>
                </c:pt>
                <c:pt idx="1">
                  <c:v>0.09</c:v>
                </c:pt>
                <c:pt idx="2">
                  <c:v>0.16</c:v>
                </c:pt>
                <c:pt idx="3">
                  <c:v>0.23</c:v>
                </c:pt>
                <c:pt idx="4">
                  <c:v>0.3</c:v>
                </c:pt>
                <c:pt idx="5">
                  <c:v>0.36</c:v>
                </c:pt>
                <c:pt idx="6">
                  <c:v>0.42</c:v>
                </c:pt>
                <c:pt idx="7">
                  <c:v>0.48</c:v>
                </c:pt>
                <c:pt idx="8">
                  <c:v>0.53</c:v>
                </c:pt>
                <c:pt idx="9">
                  <c:v>0.57999999999999996</c:v>
                </c:pt>
                <c:pt idx="10">
                  <c:v>0.62</c:v>
                </c:pt>
                <c:pt idx="11">
                  <c:v>0.66</c:v>
                </c:pt>
                <c:pt idx="12">
                  <c:v>0.69</c:v>
                </c:pt>
                <c:pt idx="13">
                  <c:v>0.73</c:v>
                </c:pt>
                <c:pt idx="14">
                  <c:v>0.78</c:v>
                </c:pt>
                <c:pt idx="15">
                  <c:v>0.84</c:v>
                </c:pt>
                <c:pt idx="16">
                  <c:v>0.91</c:v>
                </c:pt>
                <c:pt idx="17">
                  <c:v>0.94</c:v>
                </c:pt>
                <c:pt idx="18">
                  <c:v>0.97</c:v>
                </c:pt>
                <c:pt idx="19">
                  <c:v>0.99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93-4DFD-B753-12F02F11F6BC}"/>
            </c:ext>
          </c:extLst>
        </c:ser>
        <c:ser>
          <c:idx val="5"/>
          <c:order val="5"/>
          <c:tx>
            <c:strRef>
              <c:f>Sheet2!$I$3</c:f>
              <c:strCache>
                <c:ptCount val="1"/>
                <c:pt idx="0">
                  <c:v>Fty_E_eu_8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Sheet2!$C$46:$C$66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Sheet2!$I$46:$I$66</c:f>
              <c:numCache>
                <c:formatCode>0.00</c:formatCode>
                <c:ptCount val="21"/>
                <c:pt idx="0">
                  <c:v>0</c:v>
                </c:pt>
                <c:pt idx="1">
                  <c:v>7.0000000000000007E-2</c:v>
                </c:pt>
                <c:pt idx="2">
                  <c:v>0.13</c:v>
                </c:pt>
                <c:pt idx="3">
                  <c:v>0.18</c:v>
                </c:pt>
                <c:pt idx="4">
                  <c:v>0.23</c:v>
                </c:pt>
                <c:pt idx="5">
                  <c:v>0.28000000000000003</c:v>
                </c:pt>
                <c:pt idx="6">
                  <c:v>0.33</c:v>
                </c:pt>
                <c:pt idx="7">
                  <c:v>0.37</c:v>
                </c:pt>
                <c:pt idx="8">
                  <c:v>0.41</c:v>
                </c:pt>
                <c:pt idx="9">
                  <c:v>0.45</c:v>
                </c:pt>
                <c:pt idx="10">
                  <c:v>0.49</c:v>
                </c:pt>
                <c:pt idx="11">
                  <c:v>0.53</c:v>
                </c:pt>
                <c:pt idx="12">
                  <c:v>0.56000000000000005</c:v>
                </c:pt>
                <c:pt idx="13">
                  <c:v>0.6</c:v>
                </c:pt>
                <c:pt idx="14">
                  <c:v>0.64</c:v>
                </c:pt>
                <c:pt idx="15">
                  <c:v>0.7</c:v>
                </c:pt>
                <c:pt idx="16">
                  <c:v>0.76</c:v>
                </c:pt>
                <c:pt idx="17">
                  <c:v>0.81</c:v>
                </c:pt>
                <c:pt idx="18">
                  <c:v>0.86</c:v>
                </c:pt>
                <c:pt idx="19">
                  <c:v>0.92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93-4DFD-B753-12F02F11F6BC}"/>
            </c:ext>
          </c:extLst>
        </c:ser>
        <c:ser>
          <c:idx val="6"/>
          <c:order val="6"/>
          <c:tx>
            <c:strRef>
              <c:f>Sheet2!$J$3</c:f>
              <c:strCache>
                <c:ptCount val="1"/>
                <c:pt idx="0">
                  <c:v>Fty_E_eu_10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Sheet2!$C$46:$C$66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Sheet2!$J$46:$J$66</c:f>
              <c:numCache>
                <c:formatCode>0.00</c:formatCode>
                <c:ptCount val="2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0.16</c:v>
                </c:pt>
                <c:pt idx="4">
                  <c:v>0.2</c:v>
                </c:pt>
                <c:pt idx="5">
                  <c:v>0.24</c:v>
                </c:pt>
                <c:pt idx="6">
                  <c:v>0.28000000000000003</c:v>
                </c:pt>
                <c:pt idx="7">
                  <c:v>0.31</c:v>
                </c:pt>
                <c:pt idx="8">
                  <c:v>0.34</c:v>
                </c:pt>
                <c:pt idx="9">
                  <c:v>0.37</c:v>
                </c:pt>
                <c:pt idx="10">
                  <c:v>0.4</c:v>
                </c:pt>
                <c:pt idx="11">
                  <c:v>0.43</c:v>
                </c:pt>
                <c:pt idx="12">
                  <c:v>0.46</c:v>
                </c:pt>
                <c:pt idx="13">
                  <c:v>0.5</c:v>
                </c:pt>
                <c:pt idx="14">
                  <c:v>0.53</c:v>
                </c:pt>
                <c:pt idx="15">
                  <c:v>0.56999999999999995</c:v>
                </c:pt>
                <c:pt idx="16">
                  <c:v>0.63</c:v>
                </c:pt>
                <c:pt idx="17">
                  <c:v>0.69</c:v>
                </c:pt>
                <c:pt idx="18">
                  <c:v>0.78</c:v>
                </c:pt>
                <c:pt idx="19">
                  <c:v>0.87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93-4DFD-B753-12F02F11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739184"/>
        <c:axId val="1635931936"/>
      </c:scatterChart>
      <c:valAx>
        <c:axId val="1670739184"/>
        <c:scaling>
          <c:orientation val="minMax"/>
          <c:max val="1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931936"/>
        <c:crosses val="autoZero"/>
        <c:crossBetween val="midCat"/>
      </c:valAx>
      <c:valAx>
        <c:axId val="1635931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73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478453</xdr:colOff>
      <xdr:row>0</xdr:row>
      <xdr:rowOff>175265</xdr:rowOff>
    </xdr:from>
    <xdr:to>
      <xdr:col>18</xdr:col>
      <xdr:colOff>164838</xdr:colOff>
      <xdr:row>15</xdr:row>
      <xdr:rowOff>146690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D6A9B6-94BA-2D5A-BF70-49F8F04DA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538218</xdr:colOff>
      <xdr:row>16</xdr:row>
      <xdr:rowOff>68623</xdr:rowOff>
    </xdr:from>
    <xdr:to>
      <xdr:col>18</xdr:col>
      <xdr:colOff>226509</xdr:colOff>
      <xdr:row>31</xdr:row>
      <xdr:rowOff>68622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461773-16FD-D38B-A5F5-107277C98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235434</xdr:colOff>
      <xdr:row>31</xdr:row>
      <xdr:rowOff>66868</xdr:rowOff>
    </xdr:from>
    <xdr:to>
      <xdr:col>18</xdr:col>
      <xdr:colOff>538367</xdr:colOff>
      <xdr:row>46</xdr:row>
      <xdr:rowOff>44007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5C1C0F-08FE-D94F-2AD0-5DB8874B8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B996-2757-4CDA-BD6E-70BABBDD6CAD}">
  <dimension ref="A5:C14"/>
  <sheetViews>
    <sheetView workbookViewId="0">
      <selection activeCell="A6" sqref="A5:A14"/>
    </sheetView>
  </sheetViews>
  <sheetFormatPr defaultRowHeight="14.4" x14ac:dyDescent="0.3"/>
  <sheetData>
    <row r="5" spans="1:3" x14ac:dyDescent="0.3">
      <c r="A5">
        <f>B5^-1/2</f>
        <v>3.3333333333333335</v>
      </c>
      <c r="B5">
        <v>0.15</v>
      </c>
      <c r="C5">
        <v>8.5069999999999997</v>
      </c>
    </row>
    <row r="6" spans="1:3" x14ac:dyDescent="0.3">
      <c r="A6">
        <f t="shared" ref="A6:A14" si="0">B6^-1/2</f>
        <v>2.5</v>
      </c>
      <c r="B6">
        <v>0.2</v>
      </c>
      <c r="C6">
        <v>6.907</v>
      </c>
    </row>
    <row r="7" spans="1:3" x14ac:dyDescent="0.3">
      <c r="A7">
        <f t="shared" si="0"/>
        <v>2</v>
      </c>
      <c r="B7">
        <v>0.25</v>
      </c>
      <c r="C7">
        <v>5.98</v>
      </c>
    </row>
    <row r="8" spans="1:3" x14ac:dyDescent="0.3">
      <c r="A8">
        <f t="shared" si="0"/>
        <v>1.6666666666666667</v>
      </c>
      <c r="B8">
        <v>0.3</v>
      </c>
      <c r="C8">
        <v>5.4029999999999996</v>
      </c>
    </row>
    <row r="9" spans="1:3" x14ac:dyDescent="0.3">
      <c r="A9">
        <f t="shared" si="0"/>
        <v>1.4285714285714286</v>
      </c>
      <c r="B9">
        <v>0.35</v>
      </c>
      <c r="C9">
        <v>5.0380000000000003</v>
      </c>
    </row>
    <row r="10" spans="1:3" x14ac:dyDescent="0.3">
      <c r="A10">
        <f t="shared" si="0"/>
        <v>1.25</v>
      </c>
      <c r="B10">
        <v>0.4</v>
      </c>
      <c r="C10">
        <v>4.8170000000000002</v>
      </c>
    </row>
    <row r="11" spans="1:3" x14ac:dyDescent="0.3">
      <c r="A11">
        <f t="shared" si="0"/>
        <v>1.1111111111111112</v>
      </c>
      <c r="B11">
        <v>0.45</v>
      </c>
      <c r="C11">
        <v>4.7069999999999999</v>
      </c>
    </row>
    <row r="12" spans="1:3" x14ac:dyDescent="0.3">
      <c r="A12">
        <f t="shared" si="0"/>
        <v>1</v>
      </c>
      <c r="B12">
        <v>0.5</v>
      </c>
      <c r="C12">
        <v>4.6920000000000002</v>
      </c>
    </row>
    <row r="13" spans="1:3" x14ac:dyDescent="0.3">
      <c r="A13">
        <f t="shared" si="0"/>
        <v>0.90909090909090906</v>
      </c>
      <c r="B13">
        <v>0.55000000000000004</v>
      </c>
      <c r="C13">
        <v>4.7690000000000001</v>
      </c>
    </row>
    <row r="14" spans="1:3" x14ac:dyDescent="0.3">
      <c r="A14">
        <f t="shared" si="0"/>
        <v>0.83333333333333337</v>
      </c>
      <c r="B14">
        <v>0.6</v>
      </c>
      <c r="C14">
        <v>4.9489999999999998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8BC0-7630-4FEC-A3D6-F44AF91D8DCF}">
  <dimension ref="B2:M141"/>
  <sheetViews>
    <sheetView tabSelected="1" topLeftCell="J106" zoomScale="85" zoomScaleNormal="85" workbookViewId="0">
      <selection activeCell="L116" sqref="L116"/>
    </sheetView>
  </sheetViews>
  <sheetFormatPr defaultRowHeight="14.4" x14ac:dyDescent="0.3"/>
  <cols>
    <col min="2" max="2" width="11.77734375" bestFit="1" customWidth="1"/>
    <col min="4" max="9" width="13.109375" customWidth="1"/>
    <col min="10" max="10" width="16.77734375" customWidth="1"/>
  </cols>
  <sheetData>
    <row r="2" spans="2:13" x14ac:dyDescent="0.3">
      <c r="M2" t="s">
        <v>9</v>
      </c>
    </row>
    <row r="3" spans="2:13" x14ac:dyDescent="0.3">
      <c r="B3" t="s">
        <v>0</v>
      </c>
      <c r="C3" t="s">
        <v>8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M3" t="s">
        <v>10</v>
      </c>
    </row>
    <row r="4" spans="2:13" x14ac:dyDescent="0.3">
      <c r="B4" s="1">
        <v>0.6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M4" t="s">
        <v>11</v>
      </c>
    </row>
    <row r="5" spans="2:13" x14ac:dyDescent="0.3">
      <c r="B5" s="1">
        <v>0.6</v>
      </c>
      <c r="C5" s="1">
        <v>0.05</v>
      </c>
      <c r="D5" s="1">
        <v>0.33</v>
      </c>
      <c r="E5" s="1">
        <v>0.33</v>
      </c>
      <c r="F5" s="1">
        <v>0.26</v>
      </c>
      <c r="G5" s="1">
        <v>0.15</v>
      </c>
      <c r="H5" s="1">
        <v>0.09</v>
      </c>
      <c r="I5" s="1">
        <v>7.0000000000000007E-2</v>
      </c>
      <c r="J5" s="1">
        <v>0.06</v>
      </c>
      <c r="M5" t="s">
        <v>12</v>
      </c>
    </row>
    <row r="6" spans="2:13" x14ac:dyDescent="0.3">
      <c r="B6" s="1">
        <v>0.6</v>
      </c>
      <c r="C6" s="1">
        <v>0.1</v>
      </c>
      <c r="D6" s="1">
        <v>0.5</v>
      </c>
      <c r="E6" s="1">
        <v>0.49</v>
      </c>
      <c r="F6" s="1">
        <v>0.41</v>
      </c>
      <c r="G6" s="1">
        <v>0.24</v>
      </c>
      <c r="H6" s="1">
        <v>0.16</v>
      </c>
      <c r="I6" s="1">
        <v>0.12</v>
      </c>
      <c r="J6" s="1">
        <v>0.1</v>
      </c>
      <c r="M6" t="s">
        <v>13</v>
      </c>
    </row>
    <row r="7" spans="2:13" x14ac:dyDescent="0.3">
      <c r="B7" s="1">
        <v>0.6</v>
      </c>
      <c r="C7" s="1">
        <v>0.15</v>
      </c>
      <c r="D7" s="1">
        <v>0.61</v>
      </c>
      <c r="E7" s="1">
        <v>0.57999999999999996</v>
      </c>
      <c r="F7" s="1">
        <v>0.52</v>
      </c>
      <c r="G7" s="1">
        <v>0.32</v>
      </c>
      <c r="H7" s="1">
        <v>0.22</v>
      </c>
      <c r="I7" s="1">
        <v>0.18</v>
      </c>
      <c r="J7" s="1">
        <v>0.15</v>
      </c>
      <c r="M7" t="s">
        <v>14</v>
      </c>
    </row>
    <row r="8" spans="2:13" x14ac:dyDescent="0.3">
      <c r="B8" s="1">
        <v>0.6</v>
      </c>
      <c r="C8" s="1">
        <v>0.2</v>
      </c>
      <c r="D8" s="1">
        <v>0.67</v>
      </c>
      <c r="E8" s="1">
        <v>0.65</v>
      </c>
      <c r="F8" s="1">
        <v>0.59</v>
      </c>
      <c r="G8" s="1">
        <v>0.4</v>
      </c>
      <c r="H8" s="1">
        <v>0.3</v>
      </c>
      <c r="I8" s="1">
        <v>0.24</v>
      </c>
      <c r="J8" s="1">
        <v>0.19</v>
      </c>
      <c r="M8" t="s">
        <v>15</v>
      </c>
    </row>
    <row r="9" spans="2:13" x14ac:dyDescent="0.3">
      <c r="B9" s="1">
        <v>0.6</v>
      </c>
      <c r="C9" s="1">
        <v>0.25</v>
      </c>
      <c r="D9" s="1">
        <v>0.7</v>
      </c>
      <c r="E9" s="1">
        <v>0.68</v>
      </c>
      <c r="F9" s="1">
        <v>0.63</v>
      </c>
      <c r="G9" s="1">
        <v>0.47</v>
      </c>
      <c r="H9" s="1">
        <v>0.36</v>
      </c>
      <c r="I9" s="1">
        <v>0.28999999999999998</v>
      </c>
      <c r="J9" s="1">
        <v>0.24</v>
      </c>
      <c r="M9" t="s">
        <v>16</v>
      </c>
    </row>
    <row r="10" spans="2:13" x14ac:dyDescent="0.3">
      <c r="B10" s="1">
        <v>0.6</v>
      </c>
      <c r="C10" s="1">
        <v>0.3</v>
      </c>
      <c r="D10" s="1">
        <v>0.71</v>
      </c>
      <c r="E10" s="1">
        <v>0.69</v>
      </c>
      <c r="F10" s="1">
        <v>0.66</v>
      </c>
      <c r="G10" s="1">
        <v>0.53</v>
      </c>
      <c r="H10" s="1">
        <v>0.41</v>
      </c>
      <c r="I10" s="1">
        <v>0.33</v>
      </c>
      <c r="J10" s="1">
        <v>0.27</v>
      </c>
      <c r="M10" t="s">
        <v>17</v>
      </c>
    </row>
    <row r="11" spans="2:13" x14ac:dyDescent="0.3">
      <c r="B11" s="1">
        <v>0.6</v>
      </c>
      <c r="C11" s="1">
        <v>0.35</v>
      </c>
      <c r="D11" s="1">
        <v>0.72</v>
      </c>
      <c r="E11" s="1">
        <v>0.7</v>
      </c>
      <c r="F11" s="1">
        <v>0.68</v>
      </c>
      <c r="G11" s="1">
        <v>0.56999999999999995</v>
      </c>
      <c r="H11" s="1">
        <v>0.45</v>
      </c>
      <c r="I11" s="1">
        <v>0.37</v>
      </c>
      <c r="J11" s="1">
        <v>0.31</v>
      </c>
      <c r="M11" t="s">
        <v>18</v>
      </c>
    </row>
    <row r="12" spans="2:13" x14ac:dyDescent="0.3">
      <c r="B12" s="1">
        <v>0.6</v>
      </c>
      <c r="C12" s="1">
        <v>0.4</v>
      </c>
      <c r="D12" s="1">
        <v>0.73</v>
      </c>
      <c r="E12" s="1">
        <v>0.71</v>
      </c>
      <c r="F12" s="1">
        <v>0.69</v>
      </c>
      <c r="G12" s="1">
        <v>0.61</v>
      </c>
      <c r="H12" s="1">
        <v>0.49</v>
      </c>
      <c r="I12" s="1">
        <v>0.4</v>
      </c>
      <c r="J12" s="1">
        <v>0.34</v>
      </c>
      <c r="M12" t="s">
        <v>19</v>
      </c>
    </row>
    <row r="13" spans="2:13" x14ac:dyDescent="0.3">
      <c r="B13" s="1">
        <v>0.6</v>
      </c>
      <c r="C13" s="1">
        <v>0.45</v>
      </c>
      <c r="D13" s="1">
        <v>0.74</v>
      </c>
      <c r="E13" s="1">
        <v>0.72</v>
      </c>
      <c r="F13" s="1">
        <v>0.7</v>
      </c>
      <c r="G13" s="1">
        <v>0.63</v>
      </c>
      <c r="H13" s="1">
        <v>0.53</v>
      </c>
      <c r="I13" s="1">
        <v>0.43</v>
      </c>
      <c r="J13" s="1">
        <v>0.36</v>
      </c>
      <c r="M13" t="s">
        <v>20</v>
      </c>
    </row>
    <row r="14" spans="2:13" x14ac:dyDescent="0.3">
      <c r="B14" s="1">
        <v>0.6</v>
      </c>
      <c r="C14" s="1">
        <v>0.5</v>
      </c>
      <c r="D14" s="1">
        <v>0.76</v>
      </c>
      <c r="E14" s="1">
        <v>0.74</v>
      </c>
      <c r="F14" s="1">
        <v>0.72</v>
      </c>
      <c r="G14" s="1">
        <v>0.64</v>
      </c>
      <c r="H14" s="1">
        <v>0.56000000000000005</v>
      </c>
      <c r="I14" s="1">
        <v>0.46</v>
      </c>
      <c r="J14" s="1">
        <v>0.4</v>
      </c>
      <c r="M14" t="s">
        <v>21</v>
      </c>
    </row>
    <row r="15" spans="2:13" x14ac:dyDescent="0.3">
      <c r="B15" s="1">
        <v>0.6</v>
      </c>
      <c r="C15" s="1">
        <v>0.55000000000000004</v>
      </c>
      <c r="D15" s="1">
        <v>0.77</v>
      </c>
      <c r="E15" s="1">
        <v>0.76</v>
      </c>
      <c r="F15" s="1">
        <v>0.73</v>
      </c>
      <c r="G15" s="1">
        <v>0.66</v>
      </c>
      <c r="H15" s="1">
        <v>0.59</v>
      </c>
      <c r="I15" s="1">
        <v>0.5</v>
      </c>
      <c r="J15" s="1">
        <v>0.43</v>
      </c>
      <c r="M15" t="s">
        <v>22</v>
      </c>
    </row>
    <row r="16" spans="2:13" x14ac:dyDescent="0.3">
      <c r="B16" s="1">
        <v>0.6</v>
      </c>
      <c r="C16" s="1">
        <v>0.6</v>
      </c>
      <c r="D16" s="1">
        <v>0.78</v>
      </c>
      <c r="E16" s="1">
        <v>0.77</v>
      </c>
      <c r="F16" s="1">
        <v>0.74</v>
      </c>
      <c r="G16" s="1">
        <v>0.68</v>
      </c>
      <c r="H16" s="1">
        <v>0.62</v>
      </c>
      <c r="I16" s="1">
        <v>0.53</v>
      </c>
      <c r="J16" s="1">
        <v>0.45</v>
      </c>
      <c r="M16" t="s">
        <v>23</v>
      </c>
    </row>
    <row r="17" spans="2:13" x14ac:dyDescent="0.3">
      <c r="B17" s="1">
        <v>0.6</v>
      </c>
      <c r="C17" s="1">
        <v>0.65</v>
      </c>
      <c r="D17" s="1">
        <v>0.8</v>
      </c>
      <c r="E17" s="1">
        <v>0.79</v>
      </c>
      <c r="F17" s="1">
        <v>0.77</v>
      </c>
      <c r="G17" s="1">
        <v>0.7</v>
      </c>
      <c r="H17" s="1">
        <v>0.64</v>
      </c>
      <c r="I17" s="1">
        <v>0.56999999999999995</v>
      </c>
      <c r="J17" s="1">
        <v>0.49</v>
      </c>
      <c r="M17" t="s">
        <v>24</v>
      </c>
    </row>
    <row r="18" spans="2:13" x14ac:dyDescent="0.3">
      <c r="B18" s="1">
        <v>0.6</v>
      </c>
      <c r="C18" s="1">
        <v>0.7</v>
      </c>
      <c r="D18" s="1">
        <v>0.82</v>
      </c>
      <c r="E18" s="1">
        <v>0.81</v>
      </c>
      <c r="F18" s="1">
        <v>0.78</v>
      </c>
      <c r="G18" s="1">
        <v>0.73</v>
      </c>
      <c r="H18" s="1">
        <v>0.68</v>
      </c>
      <c r="I18" s="1">
        <v>0.61</v>
      </c>
      <c r="J18" s="1">
        <v>0.53</v>
      </c>
      <c r="M18" t="s">
        <v>25</v>
      </c>
    </row>
    <row r="19" spans="2:13" x14ac:dyDescent="0.3">
      <c r="B19" s="1">
        <v>0.6</v>
      </c>
      <c r="C19" s="1">
        <v>0.75</v>
      </c>
      <c r="D19" s="1">
        <v>0.84</v>
      </c>
      <c r="E19" s="1">
        <v>0.82</v>
      </c>
      <c r="F19" s="1">
        <v>0.81</v>
      </c>
      <c r="G19" s="1">
        <v>0.77</v>
      </c>
      <c r="H19" s="1">
        <v>0.72</v>
      </c>
      <c r="I19" s="1">
        <v>0.66</v>
      </c>
      <c r="J19" s="1">
        <v>0.57999999999999996</v>
      </c>
      <c r="M19" t="s">
        <v>26</v>
      </c>
    </row>
    <row r="20" spans="2:13" x14ac:dyDescent="0.3">
      <c r="B20" s="1">
        <v>0.6</v>
      </c>
      <c r="C20" s="1">
        <v>0.8</v>
      </c>
      <c r="D20" s="1">
        <v>0.86</v>
      </c>
      <c r="E20" s="1">
        <v>0.84</v>
      </c>
      <c r="F20" s="1">
        <v>0.84</v>
      </c>
      <c r="G20" s="1">
        <v>0.8</v>
      </c>
      <c r="H20" s="1">
        <v>0.76</v>
      </c>
      <c r="I20" s="1">
        <v>0.71</v>
      </c>
      <c r="J20" s="1">
        <v>0.64</v>
      </c>
      <c r="M20" t="s">
        <v>27</v>
      </c>
    </row>
    <row r="21" spans="2:13" x14ac:dyDescent="0.3">
      <c r="B21" s="1">
        <v>0.6</v>
      </c>
      <c r="C21" s="1">
        <v>0.85</v>
      </c>
      <c r="D21" s="1">
        <v>0.88</v>
      </c>
      <c r="E21" s="1">
        <v>0.87</v>
      </c>
      <c r="F21" s="1">
        <v>0.87</v>
      </c>
      <c r="G21" s="1">
        <v>0.84</v>
      </c>
      <c r="H21" s="1">
        <v>0.81</v>
      </c>
      <c r="I21" s="1">
        <v>0.77</v>
      </c>
      <c r="J21" s="1">
        <v>0.71</v>
      </c>
      <c r="M21" t="s">
        <v>28</v>
      </c>
    </row>
    <row r="22" spans="2:13" x14ac:dyDescent="0.3">
      <c r="B22" s="1">
        <v>0.6</v>
      </c>
      <c r="C22" s="1">
        <v>0.9</v>
      </c>
      <c r="D22" s="1">
        <v>0.91</v>
      </c>
      <c r="E22" s="1">
        <v>0.9</v>
      </c>
      <c r="F22" s="1">
        <v>0.9</v>
      </c>
      <c r="G22" s="1">
        <v>0.88</v>
      </c>
      <c r="H22" s="1">
        <v>0.86</v>
      </c>
      <c r="I22" s="1">
        <v>0.83</v>
      </c>
      <c r="J22" s="1">
        <v>0.79</v>
      </c>
      <c r="M22" t="s">
        <v>29</v>
      </c>
    </row>
    <row r="23" spans="2:13" x14ac:dyDescent="0.3">
      <c r="B23" s="1">
        <v>0.6</v>
      </c>
      <c r="C23" s="1">
        <v>0.95</v>
      </c>
      <c r="D23" s="1">
        <v>0.95</v>
      </c>
      <c r="E23" s="1">
        <v>0.95</v>
      </c>
      <c r="F23" s="1">
        <v>0.95</v>
      </c>
      <c r="G23" s="1">
        <v>0.94</v>
      </c>
      <c r="H23" s="1">
        <v>0.94</v>
      </c>
      <c r="I23" s="1">
        <v>0.92</v>
      </c>
      <c r="J23" s="1">
        <v>0.89</v>
      </c>
    </row>
    <row r="24" spans="2:13" x14ac:dyDescent="0.3">
      <c r="B24" s="1">
        <v>0.6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</row>
    <row r="25" spans="2:13" x14ac:dyDescent="0.3">
      <c r="B25" s="1">
        <v>0.8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2:13" x14ac:dyDescent="0.3">
      <c r="B26" s="1">
        <v>0.8</v>
      </c>
      <c r="C26" s="1">
        <v>0.05</v>
      </c>
      <c r="D26" s="1">
        <v>0.4</v>
      </c>
      <c r="E26" s="1">
        <v>0.38</v>
      </c>
      <c r="F26" s="1">
        <v>0.24</v>
      </c>
      <c r="G26" s="1">
        <v>0.14000000000000001</v>
      </c>
      <c r="H26" s="1">
        <v>0.08</v>
      </c>
      <c r="I26" s="1">
        <v>7.0000000000000007E-2</v>
      </c>
      <c r="J26" s="1">
        <v>0.05</v>
      </c>
    </row>
    <row r="27" spans="2:13" x14ac:dyDescent="0.3">
      <c r="B27" s="1">
        <v>0.8</v>
      </c>
      <c r="C27" s="1">
        <v>0.1</v>
      </c>
      <c r="D27" s="1">
        <v>0.66</v>
      </c>
      <c r="E27" s="1">
        <v>0.59</v>
      </c>
      <c r="F27" s="1">
        <v>0.42</v>
      </c>
      <c r="G27" s="1">
        <v>0.25</v>
      </c>
      <c r="H27" s="1">
        <v>0.15</v>
      </c>
      <c r="I27" s="1">
        <v>0.12</v>
      </c>
      <c r="J27" s="1">
        <v>0.1</v>
      </c>
    </row>
    <row r="28" spans="2:13" x14ac:dyDescent="0.3">
      <c r="B28" s="1">
        <v>0.8</v>
      </c>
      <c r="C28" s="1">
        <v>0.15</v>
      </c>
      <c r="D28" s="1">
        <v>0.79</v>
      </c>
      <c r="E28" s="1">
        <v>0.73</v>
      </c>
      <c r="F28" s="1">
        <v>0.56000000000000005</v>
      </c>
      <c r="G28" s="1">
        <v>0.35</v>
      </c>
      <c r="H28" s="1">
        <v>0.22</v>
      </c>
      <c r="I28" s="1">
        <v>0.18</v>
      </c>
      <c r="J28" s="1">
        <v>0.15</v>
      </c>
    </row>
    <row r="29" spans="2:13" x14ac:dyDescent="0.3">
      <c r="B29" s="1">
        <v>0.8</v>
      </c>
      <c r="C29" s="1">
        <v>0.2</v>
      </c>
      <c r="D29" s="1">
        <v>0.83</v>
      </c>
      <c r="E29" s="1">
        <v>0.81</v>
      </c>
      <c r="F29" s="1">
        <v>0.67</v>
      </c>
      <c r="G29" s="1">
        <v>0.43</v>
      </c>
      <c r="H29" s="1">
        <v>0.28999999999999998</v>
      </c>
      <c r="I29" s="1">
        <v>0.23</v>
      </c>
      <c r="J29" s="1">
        <v>0.19</v>
      </c>
    </row>
    <row r="30" spans="2:13" x14ac:dyDescent="0.3">
      <c r="B30" s="1">
        <v>0.8</v>
      </c>
      <c r="C30" s="1">
        <v>0.25</v>
      </c>
      <c r="D30" s="1">
        <v>0.84</v>
      </c>
      <c r="E30" s="1">
        <v>0.83</v>
      </c>
      <c r="F30" s="1">
        <v>0.74</v>
      </c>
      <c r="G30" s="1">
        <v>0.5</v>
      </c>
      <c r="H30" s="1">
        <v>0.36</v>
      </c>
      <c r="I30" s="1">
        <v>0.28000000000000003</v>
      </c>
      <c r="J30" s="1">
        <v>0.24</v>
      </c>
    </row>
    <row r="31" spans="2:13" x14ac:dyDescent="0.3">
      <c r="B31" s="1">
        <v>0.8</v>
      </c>
      <c r="C31" s="1">
        <v>0.3</v>
      </c>
      <c r="D31" s="1">
        <v>0.85</v>
      </c>
      <c r="E31" s="1">
        <v>0.84</v>
      </c>
      <c r="F31" s="1">
        <v>0.77</v>
      </c>
      <c r="G31" s="1">
        <v>0.56000000000000005</v>
      </c>
      <c r="H31" s="1">
        <v>0.42</v>
      </c>
      <c r="I31" s="1">
        <v>0.33</v>
      </c>
      <c r="J31" s="1">
        <v>0.28000000000000003</v>
      </c>
    </row>
    <row r="32" spans="2:13" x14ac:dyDescent="0.3">
      <c r="B32" s="1">
        <v>0.8</v>
      </c>
      <c r="C32" s="1">
        <v>0.35</v>
      </c>
      <c r="D32" s="1">
        <v>0.85</v>
      </c>
      <c r="E32" s="1">
        <v>0.85</v>
      </c>
      <c r="F32" s="1">
        <v>0.8</v>
      </c>
      <c r="G32" s="1">
        <v>0.62</v>
      </c>
      <c r="H32" s="1">
        <v>0.48</v>
      </c>
      <c r="I32" s="1">
        <v>0.37</v>
      </c>
      <c r="J32" s="1">
        <v>0.31</v>
      </c>
    </row>
    <row r="33" spans="2:10" x14ac:dyDescent="0.3">
      <c r="B33" s="1">
        <v>0.8</v>
      </c>
      <c r="C33" s="1">
        <v>0.4</v>
      </c>
      <c r="D33" s="1">
        <v>0.86</v>
      </c>
      <c r="E33" s="1">
        <v>0.86</v>
      </c>
      <c r="F33" s="1">
        <v>0.81</v>
      </c>
      <c r="G33" s="1">
        <v>0.66</v>
      </c>
      <c r="H33" s="1">
        <v>0.52</v>
      </c>
      <c r="I33" s="1">
        <v>0.41</v>
      </c>
      <c r="J33" s="1">
        <v>0.34</v>
      </c>
    </row>
    <row r="34" spans="2:10" x14ac:dyDescent="0.3">
      <c r="B34" s="1">
        <v>0.8</v>
      </c>
      <c r="C34" s="1">
        <v>0.45</v>
      </c>
      <c r="D34" s="1">
        <v>0.86</v>
      </c>
      <c r="E34" s="1">
        <v>0.86</v>
      </c>
      <c r="F34" s="1">
        <v>0.83</v>
      </c>
      <c r="G34" s="1">
        <v>0.69</v>
      </c>
      <c r="H34" s="1">
        <v>0.56000000000000005</v>
      </c>
      <c r="I34" s="1">
        <v>0.44</v>
      </c>
      <c r="J34" s="1">
        <v>0.37</v>
      </c>
    </row>
    <row r="35" spans="2:10" x14ac:dyDescent="0.3">
      <c r="B35" s="1">
        <v>0.8</v>
      </c>
      <c r="C35" s="1">
        <v>0.5</v>
      </c>
      <c r="D35" s="1">
        <v>0.87</v>
      </c>
      <c r="E35" s="1">
        <v>0.87</v>
      </c>
      <c r="F35" s="1">
        <v>0.84</v>
      </c>
      <c r="G35" s="1">
        <v>0.72</v>
      </c>
      <c r="H35" s="1">
        <v>0.59</v>
      </c>
      <c r="I35" s="1">
        <v>0.47</v>
      </c>
      <c r="J35" s="1">
        <v>0.4</v>
      </c>
    </row>
    <row r="36" spans="2:10" x14ac:dyDescent="0.3">
      <c r="B36" s="1">
        <v>0.8</v>
      </c>
      <c r="C36" s="1">
        <v>0.55000000000000004</v>
      </c>
      <c r="D36" s="1">
        <v>0.88</v>
      </c>
      <c r="E36" s="1">
        <v>0.88</v>
      </c>
      <c r="F36" s="1">
        <v>0.84</v>
      </c>
      <c r="G36" s="1">
        <v>0.74</v>
      </c>
      <c r="H36" s="1">
        <v>0.62</v>
      </c>
      <c r="I36" s="1">
        <v>0.51</v>
      </c>
      <c r="J36" s="1">
        <v>0.44</v>
      </c>
    </row>
    <row r="37" spans="2:10" x14ac:dyDescent="0.3">
      <c r="B37" s="1">
        <v>0.8</v>
      </c>
      <c r="C37" s="1">
        <v>0.6</v>
      </c>
      <c r="D37" s="1">
        <v>0.89</v>
      </c>
      <c r="E37" s="1">
        <v>0.89</v>
      </c>
      <c r="F37" s="1">
        <v>0.85</v>
      </c>
      <c r="G37" s="1">
        <v>0.76</v>
      </c>
      <c r="H37" s="1">
        <v>0.65</v>
      </c>
      <c r="I37" s="1">
        <v>0.55000000000000004</v>
      </c>
      <c r="J37" s="1">
        <v>0.47</v>
      </c>
    </row>
    <row r="38" spans="2:10" x14ac:dyDescent="0.3">
      <c r="B38" s="1">
        <v>0.8</v>
      </c>
      <c r="C38" s="1">
        <v>0.65</v>
      </c>
      <c r="D38" s="1">
        <v>0.9</v>
      </c>
      <c r="E38" s="1">
        <v>0.9</v>
      </c>
      <c r="F38" s="1">
        <v>0.86</v>
      </c>
      <c r="G38" s="1">
        <v>0.79</v>
      </c>
      <c r="H38" s="1">
        <v>0.68</v>
      </c>
      <c r="I38" s="1">
        <v>0.57999999999999996</v>
      </c>
      <c r="J38" s="1">
        <v>0.5</v>
      </c>
    </row>
    <row r="39" spans="2:10" x14ac:dyDescent="0.3">
      <c r="B39" s="1">
        <v>0.8</v>
      </c>
      <c r="C39" s="1">
        <v>0.7</v>
      </c>
      <c r="D39" s="1">
        <v>0.9</v>
      </c>
      <c r="E39" s="1">
        <v>0.9</v>
      </c>
      <c r="F39" s="1">
        <v>0.87</v>
      </c>
      <c r="G39" s="1">
        <v>0.82</v>
      </c>
      <c r="H39" s="1">
        <v>0.72</v>
      </c>
      <c r="I39" s="1">
        <v>0.63</v>
      </c>
      <c r="J39" s="1">
        <v>0.53</v>
      </c>
    </row>
    <row r="40" spans="2:10" x14ac:dyDescent="0.3">
      <c r="B40" s="1">
        <v>0.8</v>
      </c>
      <c r="C40" s="1">
        <v>0.75</v>
      </c>
      <c r="D40" s="1">
        <v>0.91</v>
      </c>
      <c r="E40" s="1">
        <v>0.91</v>
      </c>
      <c r="F40" s="1">
        <v>0.89</v>
      </c>
      <c r="G40" s="1">
        <v>0.84</v>
      </c>
      <c r="H40" s="1">
        <v>0.77</v>
      </c>
      <c r="I40" s="1">
        <v>0.69</v>
      </c>
      <c r="J40" s="1">
        <v>0.57999999999999996</v>
      </c>
    </row>
    <row r="41" spans="2:10" x14ac:dyDescent="0.3">
      <c r="B41" s="1">
        <v>0.8</v>
      </c>
      <c r="C41" s="1">
        <v>0.8</v>
      </c>
      <c r="D41" s="1">
        <v>0.92</v>
      </c>
      <c r="E41" s="1">
        <v>0.92</v>
      </c>
      <c r="F41" s="1">
        <v>0.92</v>
      </c>
      <c r="G41" s="1">
        <v>0.88</v>
      </c>
      <c r="H41" s="1">
        <v>0.83</v>
      </c>
      <c r="I41" s="1">
        <v>0.74</v>
      </c>
      <c r="J41" s="1">
        <v>0.64</v>
      </c>
    </row>
    <row r="42" spans="2:10" x14ac:dyDescent="0.3">
      <c r="B42" s="1">
        <v>0.8</v>
      </c>
      <c r="C42" s="1">
        <v>0.85</v>
      </c>
      <c r="D42" s="1">
        <v>0.94</v>
      </c>
      <c r="E42" s="1">
        <v>0.94</v>
      </c>
      <c r="F42" s="1">
        <v>0.94</v>
      </c>
      <c r="G42" s="1">
        <v>0.91</v>
      </c>
      <c r="H42" s="1">
        <v>0.87</v>
      </c>
      <c r="I42" s="1">
        <v>0.79</v>
      </c>
      <c r="J42" s="1">
        <v>0.71</v>
      </c>
    </row>
    <row r="43" spans="2:10" x14ac:dyDescent="0.3">
      <c r="B43" s="1">
        <v>0.8</v>
      </c>
      <c r="C43" s="1">
        <v>0.9</v>
      </c>
      <c r="D43" s="1">
        <v>0.96</v>
      </c>
      <c r="E43" s="1">
        <v>0.96</v>
      </c>
      <c r="F43" s="1">
        <v>0.96</v>
      </c>
      <c r="G43" s="1">
        <v>0.94</v>
      </c>
      <c r="H43" s="1">
        <v>0.91</v>
      </c>
      <c r="I43" s="1">
        <v>0.85</v>
      </c>
      <c r="J43" s="1">
        <v>0.79</v>
      </c>
    </row>
    <row r="44" spans="2:10" x14ac:dyDescent="0.3">
      <c r="B44" s="1">
        <v>0.8</v>
      </c>
      <c r="C44" s="1">
        <v>0.95</v>
      </c>
      <c r="D44" s="1">
        <v>0.97</v>
      </c>
      <c r="E44" s="1">
        <v>0.97</v>
      </c>
      <c r="F44" s="1">
        <v>0.97</v>
      </c>
      <c r="G44" s="1">
        <v>0.97</v>
      </c>
      <c r="H44" s="1">
        <v>0.95</v>
      </c>
      <c r="I44" s="1">
        <v>0.92</v>
      </c>
      <c r="J44" s="1">
        <v>0.88</v>
      </c>
    </row>
    <row r="45" spans="2:10" x14ac:dyDescent="0.3">
      <c r="B45" s="1">
        <v>0.8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</row>
    <row r="46" spans="2:10" x14ac:dyDescent="0.3">
      <c r="B46" s="1">
        <v>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2:10" x14ac:dyDescent="0.3">
      <c r="B47" s="1">
        <v>1</v>
      </c>
      <c r="C47" s="1">
        <v>0.05</v>
      </c>
      <c r="D47" s="1">
        <v>0.54</v>
      </c>
      <c r="E47" s="1">
        <v>0.44</v>
      </c>
      <c r="F47" s="1">
        <v>0.26</v>
      </c>
      <c r="G47" s="1">
        <v>0.13</v>
      </c>
      <c r="H47" s="1">
        <v>0.09</v>
      </c>
      <c r="I47" s="1">
        <v>7.0000000000000007E-2</v>
      </c>
      <c r="J47" s="1">
        <v>0.06</v>
      </c>
    </row>
    <row r="48" spans="2:10" x14ac:dyDescent="0.3">
      <c r="B48" s="1">
        <v>1</v>
      </c>
      <c r="C48" s="1">
        <v>0.1</v>
      </c>
      <c r="D48" s="1">
        <v>0.78</v>
      </c>
      <c r="E48" s="1">
        <v>0.69</v>
      </c>
      <c r="F48" s="1">
        <v>0.44</v>
      </c>
      <c r="G48" s="1">
        <v>0.22</v>
      </c>
      <c r="H48" s="1">
        <v>0.16</v>
      </c>
      <c r="I48" s="1">
        <v>0.13</v>
      </c>
      <c r="J48" s="1">
        <v>0.12</v>
      </c>
    </row>
    <row r="49" spans="2:10" x14ac:dyDescent="0.3">
      <c r="B49" s="1">
        <v>1</v>
      </c>
      <c r="C49" s="1">
        <v>0.15</v>
      </c>
      <c r="D49" s="1">
        <v>0.93</v>
      </c>
      <c r="E49" s="1">
        <v>0.86</v>
      </c>
      <c r="F49" s="1">
        <v>0.57999999999999996</v>
      </c>
      <c r="G49" s="1">
        <v>0.31</v>
      </c>
      <c r="H49" s="1">
        <v>0.23</v>
      </c>
      <c r="I49" s="1">
        <v>0.18</v>
      </c>
      <c r="J49" s="1">
        <v>0.16</v>
      </c>
    </row>
    <row r="50" spans="2:10" x14ac:dyDescent="0.3">
      <c r="B50" s="1">
        <v>1</v>
      </c>
      <c r="C50" s="1">
        <v>0.2</v>
      </c>
      <c r="D50" s="1">
        <v>1</v>
      </c>
      <c r="E50" s="1">
        <v>0.96</v>
      </c>
      <c r="F50" s="1">
        <v>0.71</v>
      </c>
      <c r="G50" s="1">
        <v>0.42</v>
      </c>
      <c r="H50" s="1">
        <v>0.3</v>
      </c>
      <c r="I50" s="1">
        <v>0.23</v>
      </c>
      <c r="J50" s="1">
        <v>0.2</v>
      </c>
    </row>
    <row r="51" spans="2:10" x14ac:dyDescent="0.3">
      <c r="B51" s="1">
        <v>1</v>
      </c>
      <c r="C51" s="1">
        <v>0.25</v>
      </c>
      <c r="D51" s="1">
        <v>1</v>
      </c>
      <c r="E51" s="1">
        <v>0.98</v>
      </c>
      <c r="F51" s="1">
        <v>0.8</v>
      </c>
      <c r="G51" s="1">
        <v>0.5</v>
      </c>
      <c r="H51" s="1">
        <v>0.36</v>
      </c>
      <c r="I51" s="1">
        <v>0.28000000000000003</v>
      </c>
      <c r="J51" s="1">
        <v>0.24</v>
      </c>
    </row>
    <row r="52" spans="2:10" x14ac:dyDescent="0.3">
      <c r="B52" s="1">
        <v>1</v>
      </c>
      <c r="C52" s="1">
        <v>0.3</v>
      </c>
      <c r="D52" s="1">
        <v>1</v>
      </c>
      <c r="E52" s="1">
        <v>0.99</v>
      </c>
      <c r="F52" s="1">
        <v>0.87</v>
      </c>
      <c r="G52" s="1">
        <v>0.6</v>
      </c>
      <c r="H52" s="1">
        <v>0.42</v>
      </c>
      <c r="I52" s="1">
        <v>0.33</v>
      </c>
      <c r="J52" s="1">
        <v>0.28000000000000003</v>
      </c>
    </row>
    <row r="53" spans="2:10" x14ac:dyDescent="0.3">
      <c r="B53" s="1">
        <v>1</v>
      </c>
      <c r="C53" s="1">
        <v>0.35</v>
      </c>
      <c r="D53" s="1">
        <v>1</v>
      </c>
      <c r="E53" s="1">
        <v>0.99</v>
      </c>
      <c r="F53" s="1">
        <v>0.93</v>
      </c>
      <c r="G53" s="1">
        <v>0.66</v>
      </c>
      <c r="H53" s="1">
        <v>0.48</v>
      </c>
      <c r="I53" s="1">
        <v>0.37</v>
      </c>
      <c r="J53" s="1">
        <v>0.31</v>
      </c>
    </row>
    <row r="54" spans="2:10" x14ac:dyDescent="0.3">
      <c r="B54" s="1">
        <v>1</v>
      </c>
      <c r="C54" s="1">
        <v>0.4</v>
      </c>
      <c r="D54" s="1">
        <v>1</v>
      </c>
      <c r="E54" s="1">
        <v>1</v>
      </c>
      <c r="F54" s="1">
        <v>0.96</v>
      </c>
      <c r="G54" s="1">
        <v>0.71</v>
      </c>
      <c r="H54" s="1">
        <v>0.53</v>
      </c>
      <c r="I54" s="1">
        <v>0.41</v>
      </c>
      <c r="J54" s="1">
        <v>0.34</v>
      </c>
    </row>
    <row r="55" spans="2:10" x14ac:dyDescent="0.3">
      <c r="B55" s="1">
        <v>1</v>
      </c>
      <c r="C55" s="1">
        <v>0.45</v>
      </c>
      <c r="D55" s="1">
        <v>1</v>
      </c>
      <c r="E55" s="1">
        <v>1</v>
      </c>
      <c r="F55" s="1">
        <v>0.97</v>
      </c>
      <c r="G55" s="1">
        <v>0.75</v>
      </c>
      <c r="H55" s="1">
        <v>0.57999999999999996</v>
      </c>
      <c r="I55" s="1">
        <v>0.45</v>
      </c>
      <c r="J55" s="1">
        <v>0.37</v>
      </c>
    </row>
    <row r="56" spans="2:10" x14ac:dyDescent="0.3">
      <c r="B56" s="1">
        <v>1</v>
      </c>
      <c r="C56" s="1">
        <v>0.5</v>
      </c>
      <c r="D56" s="1">
        <v>1</v>
      </c>
      <c r="E56" s="1">
        <v>1</v>
      </c>
      <c r="F56" s="1">
        <v>0.96</v>
      </c>
      <c r="G56" s="1">
        <v>0.78</v>
      </c>
      <c r="H56" s="1">
        <v>0.62</v>
      </c>
      <c r="I56" s="1">
        <v>0.49</v>
      </c>
      <c r="J56" s="1">
        <v>0.4</v>
      </c>
    </row>
    <row r="57" spans="2:10" x14ac:dyDescent="0.3">
      <c r="B57" s="1">
        <v>1</v>
      </c>
      <c r="C57" s="1">
        <v>0.55000000000000004</v>
      </c>
      <c r="D57" s="1">
        <v>1</v>
      </c>
      <c r="E57" s="1">
        <v>1</v>
      </c>
      <c r="F57" s="1">
        <v>0.96</v>
      </c>
      <c r="G57" s="1">
        <v>0.8</v>
      </c>
      <c r="H57" s="1">
        <v>0.66</v>
      </c>
      <c r="I57" s="1">
        <v>0.53</v>
      </c>
      <c r="J57" s="1">
        <v>0.43</v>
      </c>
    </row>
    <row r="58" spans="2:10" x14ac:dyDescent="0.3">
      <c r="B58" s="1">
        <v>1</v>
      </c>
      <c r="C58" s="1">
        <v>0.6</v>
      </c>
      <c r="D58" s="1">
        <v>1</v>
      </c>
      <c r="E58" s="1">
        <v>1</v>
      </c>
      <c r="F58" s="1">
        <v>0.96</v>
      </c>
      <c r="G58" s="1">
        <v>0.83</v>
      </c>
      <c r="H58" s="1">
        <v>0.69</v>
      </c>
      <c r="I58" s="1">
        <v>0.56000000000000005</v>
      </c>
      <c r="J58" s="1">
        <v>0.46</v>
      </c>
    </row>
    <row r="59" spans="2:10" x14ac:dyDescent="0.3">
      <c r="B59" s="1">
        <v>1</v>
      </c>
      <c r="C59" s="1">
        <v>0.65</v>
      </c>
      <c r="D59" s="1">
        <v>1</v>
      </c>
      <c r="E59" s="1">
        <v>1</v>
      </c>
      <c r="F59" s="1">
        <v>0.96</v>
      </c>
      <c r="G59" s="1">
        <v>0.87</v>
      </c>
      <c r="H59" s="1">
        <v>0.73</v>
      </c>
      <c r="I59" s="1">
        <v>0.6</v>
      </c>
      <c r="J59" s="1">
        <v>0.5</v>
      </c>
    </row>
    <row r="60" spans="2:10" x14ac:dyDescent="0.3">
      <c r="B60" s="1">
        <v>1</v>
      </c>
      <c r="C60" s="1">
        <v>0.7</v>
      </c>
      <c r="D60" s="1">
        <v>1</v>
      </c>
      <c r="E60" s="1">
        <v>1</v>
      </c>
      <c r="F60" s="1">
        <v>0.97</v>
      </c>
      <c r="G60" s="1">
        <v>0.9</v>
      </c>
      <c r="H60" s="1">
        <v>0.78</v>
      </c>
      <c r="I60" s="1">
        <v>0.64</v>
      </c>
      <c r="J60" s="1">
        <v>0.53</v>
      </c>
    </row>
    <row r="61" spans="2:10" x14ac:dyDescent="0.3">
      <c r="B61" s="1">
        <v>1</v>
      </c>
      <c r="C61" s="1">
        <v>0.75</v>
      </c>
      <c r="D61" s="1">
        <v>1</v>
      </c>
      <c r="E61" s="1">
        <v>1</v>
      </c>
      <c r="F61" s="1">
        <v>0.99</v>
      </c>
      <c r="G61" s="1">
        <v>0.93</v>
      </c>
      <c r="H61" s="1">
        <v>0.84</v>
      </c>
      <c r="I61" s="1">
        <v>0.7</v>
      </c>
      <c r="J61" s="1">
        <v>0.56999999999999995</v>
      </c>
    </row>
    <row r="62" spans="2:10" x14ac:dyDescent="0.3">
      <c r="B62" s="1">
        <v>1</v>
      </c>
      <c r="C62" s="1">
        <v>0.8</v>
      </c>
      <c r="D62" s="1">
        <v>1</v>
      </c>
      <c r="E62" s="1">
        <v>1</v>
      </c>
      <c r="F62" s="1">
        <v>1</v>
      </c>
      <c r="G62" s="1">
        <v>0.97</v>
      </c>
      <c r="H62" s="1">
        <v>0.91</v>
      </c>
      <c r="I62" s="1">
        <v>0.76</v>
      </c>
      <c r="J62" s="1">
        <v>0.63</v>
      </c>
    </row>
    <row r="63" spans="2:10" x14ac:dyDescent="0.3">
      <c r="B63" s="1">
        <v>1</v>
      </c>
      <c r="C63" s="1">
        <v>0.85</v>
      </c>
      <c r="D63" s="1">
        <v>1</v>
      </c>
      <c r="E63" s="1">
        <v>1</v>
      </c>
      <c r="F63" s="1">
        <v>0.99</v>
      </c>
      <c r="G63" s="1">
        <v>0.99</v>
      </c>
      <c r="H63" s="1">
        <v>0.94</v>
      </c>
      <c r="I63" s="1">
        <v>0.81</v>
      </c>
      <c r="J63" s="1">
        <v>0.69</v>
      </c>
    </row>
    <row r="64" spans="2:10" x14ac:dyDescent="0.3">
      <c r="B64" s="1">
        <v>1</v>
      </c>
      <c r="C64" s="1">
        <v>0.9</v>
      </c>
      <c r="D64" s="1">
        <v>1</v>
      </c>
      <c r="E64" s="1">
        <v>1</v>
      </c>
      <c r="F64" s="1">
        <v>1</v>
      </c>
      <c r="G64" s="1">
        <v>1</v>
      </c>
      <c r="H64" s="1">
        <v>0.97</v>
      </c>
      <c r="I64" s="1">
        <v>0.86</v>
      </c>
      <c r="J64" s="1">
        <v>0.78</v>
      </c>
    </row>
    <row r="65" spans="2:12" x14ac:dyDescent="0.3">
      <c r="B65" s="1">
        <v>1</v>
      </c>
      <c r="C65" s="1">
        <v>0.95</v>
      </c>
      <c r="D65" s="1">
        <v>1</v>
      </c>
      <c r="E65" s="1">
        <v>1</v>
      </c>
      <c r="F65" s="1">
        <v>1</v>
      </c>
      <c r="G65" s="1">
        <v>1</v>
      </c>
      <c r="H65" s="1">
        <v>0.99</v>
      </c>
      <c r="I65" s="1">
        <v>0.92</v>
      </c>
      <c r="J65" s="1">
        <v>0.87</v>
      </c>
    </row>
    <row r="66" spans="2:12" x14ac:dyDescent="0.3"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70" spans="2:12" x14ac:dyDescent="0.3">
      <c r="B70" t="str">
        <f>_xlfn.CONCAT(B$3,": ",B4,", ")</f>
        <v xml:space="preserve">Fty_Ftu: 0.6, </v>
      </c>
    </row>
    <row r="75" spans="2:12" x14ac:dyDescent="0.3">
      <c r="B75" t="s">
        <v>0</v>
      </c>
      <c r="C75" t="s">
        <v>8</v>
      </c>
      <c r="D75" t="s">
        <v>1</v>
      </c>
      <c r="E75" t="s">
        <v>2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</row>
    <row r="76" spans="2:12" x14ac:dyDescent="0.3">
      <c r="B76" t="str">
        <f>_xlfn.CONCAT("{",B$75,": ",B4, ", ")</f>
        <v xml:space="preserve">{Fty_Ftu: 0.6, </v>
      </c>
      <c r="C76" t="str">
        <f t="shared" ref="C76:J76" si="0">_xlfn.CONCAT(C$75,": ",C4, ", ")</f>
        <v xml:space="preserve">Dw: 0, </v>
      </c>
      <c r="D76" t="str">
        <f t="shared" si="0"/>
        <v xml:space="preserve">Fty_E_eu_0: 0, </v>
      </c>
      <c r="E76" t="str">
        <f t="shared" si="0"/>
        <v xml:space="preserve">Fty_E_eu_1: 0, </v>
      </c>
      <c r="F76" t="str">
        <f t="shared" si="0"/>
        <v xml:space="preserve">Fty_E_eu_2: 0, </v>
      </c>
      <c r="G76" t="str">
        <f t="shared" si="0"/>
        <v xml:space="preserve">Fty_E_eu_4: 0, </v>
      </c>
      <c r="H76" t="str">
        <f t="shared" si="0"/>
        <v xml:space="preserve">Fty_E_eu_6: 0, </v>
      </c>
      <c r="I76" t="str">
        <f t="shared" si="0"/>
        <v xml:space="preserve">Fty_E_eu_8: 0, </v>
      </c>
      <c r="J76" t="str">
        <f>_xlfn.CONCAT(J$75,": ",J4, "}, ")</f>
        <v xml:space="preserve">Fty_E_eu_10: 0}, </v>
      </c>
      <c r="L76" t="str">
        <f>_xlfn.CONCAT(B76:J76)</f>
        <v xml:space="preserve">{Fty_Ftu: 0.6, Dw: 0, Fty_E_eu_0: 0, Fty_E_eu_1: 0, Fty_E_eu_2: 0, Fty_E_eu_4: 0, Fty_E_eu_6: 0, Fty_E_eu_8: 0, Fty_E_eu_10: 0}, </v>
      </c>
    </row>
    <row r="77" spans="2:12" x14ac:dyDescent="0.3">
      <c r="B77" t="str">
        <f t="shared" ref="B77:B138" si="1">_xlfn.CONCAT("{",B$75,": ",B5, ", ")</f>
        <v xml:space="preserve">{Fty_Ftu: 0.6, </v>
      </c>
      <c r="C77" t="str">
        <f t="shared" ref="B77:J77" si="2">_xlfn.CONCAT(C$75,": ",C5, ", ")</f>
        <v xml:space="preserve">Dw: 0.05, </v>
      </c>
      <c r="D77" t="str">
        <f t="shared" si="2"/>
        <v xml:space="preserve">Fty_E_eu_0: 0.33, </v>
      </c>
      <c r="E77" t="str">
        <f t="shared" si="2"/>
        <v xml:space="preserve">Fty_E_eu_1: 0.33, </v>
      </c>
      <c r="F77" t="str">
        <f t="shared" si="2"/>
        <v xml:space="preserve">Fty_E_eu_2: 0.26, </v>
      </c>
      <c r="G77" t="str">
        <f t="shared" si="2"/>
        <v xml:space="preserve">Fty_E_eu_4: 0.15, </v>
      </c>
      <c r="H77" t="str">
        <f t="shared" si="2"/>
        <v xml:space="preserve">Fty_E_eu_6: 0.09, </v>
      </c>
      <c r="I77" t="str">
        <f t="shared" si="2"/>
        <v xml:space="preserve">Fty_E_eu_8: 0.07, </v>
      </c>
      <c r="J77" t="str">
        <f t="shared" ref="J77:J138" si="3">_xlfn.CONCAT(J$75,": ",J5, "}, ")</f>
        <v xml:space="preserve">Fty_E_eu_10: 0.06}, </v>
      </c>
      <c r="L77" t="str">
        <f t="shared" ref="L77:L138" si="4">_xlfn.CONCAT(B77:J77)</f>
        <v xml:space="preserve">{Fty_Ftu: 0.6, Dw: 0.05, Fty_E_eu_0: 0.33, Fty_E_eu_1: 0.33, Fty_E_eu_2: 0.26, Fty_E_eu_4: 0.15, Fty_E_eu_6: 0.09, Fty_E_eu_8: 0.07, Fty_E_eu_10: 0.06}, </v>
      </c>
    </row>
    <row r="78" spans="2:12" x14ac:dyDescent="0.3">
      <c r="B78" t="str">
        <f t="shared" si="1"/>
        <v xml:space="preserve">{Fty_Ftu: 0.6, </v>
      </c>
      <c r="C78" t="str">
        <f t="shared" ref="B78:J78" si="5">_xlfn.CONCAT(C$75,": ",C6, ", ")</f>
        <v xml:space="preserve">Dw: 0.1, </v>
      </c>
      <c r="D78" t="str">
        <f t="shared" si="5"/>
        <v xml:space="preserve">Fty_E_eu_0: 0.5, </v>
      </c>
      <c r="E78" t="str">
        <f t="shared" si="5"/>
        <v xml:space="preserve">Fty_E_eu_1: 0.49, </v>
      </c>
      <c r="F78" t="str">
        <f t="shared" si="5"/>
        <v xml:space="preserve">Fty_E_eu_2: 0.41, </v>
      </c>
      <c r="G78" t="str">
        <f t="shared" si="5"/>
        <v xml:space="preserve">Fty_E_eu_4: 0.24, </v>
      </c>
      <c r="H78" t="str">
        <f t="shared" si="5"/>
        <v xml:space="preserve">Fty_E_eu_6: 0.16, </v>
      </c>
      <c r="I78" t="str">
        <f t="shared" si="5"/>
        <v xml:space="preserve">Fty_E_eu_8: 0.12, </v>
      </c>
      <c r="J78" t="str">
        <f t="shared" si="3"/>
        <v xml:space="preserve">Fty_E_eu_10: 0.1}, </v>
      </c>
      <c r="L78" t="str">
        <f t="shared" si="4"/>
        <v xml:space="preserve">{Fty_Ftu: 0.6, Dw: 0.1, Fty_E_eu_0: 0.5, Fty_E_eu_1: 0.49, Fty_E_eu_2: 0.41, Fty_E_eu_4: 0.24, Fty_E_eu_6: 0.16, Fty_E_eu_8: 0.12, Fty_E_eu_10: 0.1}, </v>
      </c>
    </row>
    <row r="79" spans="2:12" x14ac:dyDescent="0.3">
      <c r="B79" t="str">
        <f t="shared" si="1"/>
        <v xml:space="preserve">{Fty_Ftu: 0.6, </v>
      </c>
      <c r="C79" t="str">
        <f t="shared" ref="B79:J79" si="6">_xlfn.CONCAT(C$75,": ",C7, ", ")</f>
        <v xml:space="preserve">Dw: 0.15, </v>
      </c>
      <c r="D79" t="str">
        <f t="shared" si="6"/>
        <v xml:space="preserve">Fty_E_eu_0: 0.61, </v>
      </c>
      <c r="E79" t="str">
        <f t="shared" si="6"/>
        <v xml:space="preserve">Fty_E_eu_1: 0.58, </v>
      </c>
      <c r="F79" t="str">
        <f t="shared" si="6"/>
        <v xml:space="preserve">Fty_E_eu_2: 0.52, </v>
      </c>
      <c r="G79" t="str">
        <f t="shared" si="6"/>
        <v xml:space="preserve">Fty_E_eu_4: 0.32, </v>
      </c>
      <c r="H79" t="str">
        <f t="shared" si="6"/>
        <v xml:space="preserve">Fty_E_eu_6: 0.22, </v>
      </c>
      <c r="I79" t="str">
        <f t="shared" si="6"/>
        <v xml:space="preserve">Fty_E_eu_8: 0.18, </v>
      </c>
      <c r="J79" t="str">
        <f t="shared" si="3"/>
        <v xml:space="preserve">Fty_E_eu_10: 0.15}, </v>
      </c>
      <c r="L79" t="str">
        <f t="shared" si="4"/>
        <v xml:space="preserve">{Fty_Ftu: 0.6, Dw: 0.15, Fty_E_eu_0: 0.61, Fty_E_eu_1: 0.58, Fty_E_eu_2: 0.52, Fty_E_eu_4: 0.32, Fty_E_eu_6: 0.22, Fty_E_eu_8: 0.18, Fty_E_eu_10: 0.15}, </v>
      </c>
    </row>
    <row r="80" spans="2:12" x14ac:dyDescent="0.3">
      <c r="B80" t="str">
        <f t="shared" si="1"/>
        <v xml:space="preserve">{Fty_Ftu: 0.6, </v>
      </c>
      <c r="C80" t="str">
        <f t="shared" ref="B80:J80" si="7">_xlfn.CONCAT(C$75,": ",C8, ", ")</f>
        <v xml:space="preserve">Dw: 0.2, </v>
      </c>
      <c r="D80" t="str">
        <f t="shared" si="7"/>
        <v xml:space="preserve">Fty_E_eu_0: 0.67, </v>
      </c>
      <c r="E80" t="str">
        <f t="shared" si="7"/>
        <v xml:space="preserve">Fty_E_eu_1: 0.65, </v>
      </c>
      <c r="F80" t="str">
        <f t="shared" si="7"/>
        <v xml:space="preserve">Fty_E_eu_2: 0.59, </v>
      </c>
      <c r="G80" t="str">
        <f t="shared" si="7"/>
        <v xml:space="preserve">Fty_E_eu_4: 0.4, </v>
      </c>
      <c r="H80" t="str">
        <f t="shared" si="7"/>
        <v xml:space="preserve">Fty_E_eu_6: 0.3, </v>
      </c>
      <c r="I80" t="str">
        <f t="shared" si="7"/>
        <v xml:space="preserve">Fty_E_eu_8: 0.24, </v>
      </c>
      <c r="J80" t="str">
        <f t="shared" si="3"/>
        <v xml:space="preserve">Fty_E_eu_10: 0.19}, </v>
      </c>
      <c r="L80" t="str">
        <f t="shared" si="4"/>
        <v xml:space="preserve">{Fty_Ftu: 0.6, Dw: 0.2, Fty_E_eu_0: 0.67, Fty_E_eu_1: 0.65, Fty_E_eu_2: 0.59, Fty_E_eu_4: 0.4, Fty_E_eu_6: 0.3, Fty_E_eu_8: 0.24, Fty_E_eu_10: 0.19}, </v>
      </c>
    </row>
    <row r="81" spans="2:12" x14ac:dyDescent="0.3">
      <c r="B81" t="str">
        <f t="shared" si="1"/>
        <v xml:space="preserve">{Fty_Ftu: 0.6, </v>
      </c>
      <c r="C81" t="str">
        <f t="shared" ref="B81:J81" si="8">_xlfn.CONCAT(C$75,": ",C9, ", ")</f>
        <v xml:space="preserve">Dw: 0.25, </v>
      </c>
      <c r="D81" t="str">
        <f t="shared" si="8"/>
        <v xml:space="preserve">Fty_E_eu_0: 0.7, </v>
      </c>
      <c r="E81" t="str">
        <f t="shared" si="8"/>
        <v xml:space="preserve">Fty_E_eu_1: 0.68, </v>
      </c>
      <c r="F81" t="str">
        <f t="shared" si="8"/>
        <v xml:space="preserve">Fty_E_eu_2: 0.63, </v>
      </c>
      <c r="G81" t="str">
        <f t="shared" si="8"/>
        <v xml:space="preserve">Fty_E_eu_4: 0.47, </v>
      </c>
      <c r="H81" t="str">
        <f t="shared" si="8"/>
        <v xml:space="preserve">Fty_E_eu_6: 0.36, </v>
      </c>
      <c r="I81" t="str">
        <f t="shared" si="8"/>
        <v xml:space="preserve">Fty_E_eu_8: 0.29, </v>
      </c>
      <c r="J81" t="str">
        <f t="shared" si="3"/>
        <v xml:space="preserve">Fty_E_eu_10: 0.24}, </v>
      </c>
      <c r="L81" t="str">
        <f t="shared" si="4"/>
        <v xml:space="preserve">{Fty_Ftu: 0.6, Dw: 0.25, Fty_E_eu_0: 0.7, Fty_E_eu_1: 0.68, Fty_E_eu_2: 0.63, Fty_E_eu_4: 0.47, Fty_E_eu_6: 0.36, Fty_E_eu_8: 0.29, Fty_E_eu_10: 0.24}, </v>
      </c>
    </row>
    <row r="82" spans="2:12" x14ac:dyDescent="0.3">
      <c r="B82" t="str">
        <f t="shared" si="1"/>
        <v xml:space="preserve">{Fty_Ftu: 0.6, </v>
      </c>
      <c r="C82" t="str">
        <f t="shared" ref="B82:J82" si="9">_xlfn.CONCAT(C$75,": ",C10, ", ")</f>
        <v xml:space="preserve">Dw: 0.3, </v>
      </c>
      <c r="D82" t="str">
        <f t="shared" si="9"/>
        <v xml:space="preserve">Fty_E_eu_0: 0.71, </v>
      </c>
      <c r="E82" t="str">
        <f t="shared" si="9"/>
        <v xml:space="preserve">Fty_E_eu_1: 0.69, </v>
      </c>
      <c r="F82" t="str">
        <f t="shared" si="9"/>
        <v xml:space="preserve">Fty_E_eu_2: 0.66, </v>
      </c>
      <c r="G82" t="str">
        <f t="shared" si="9"/>
        <v xml:space="preserve">Fty_E_eu_4: 0.53, </v>
      </c>
      <c r="H82" t="str">
        <f t="shared" si="9"/>
        <v xml:space="preserve">Fty_E_eu_6: 0.41, </v>
      </c>
      <c r="I82" t="str">
        <f t="shared" si="9"/>
        <v xml:space="preserve">Fty_E_eu_8: 0.33, </v>
      </c>
      <c r="J82" t="str">
        <f t="shared" si="3"/>
        <v xml:space="preserve">Fty_E_eu_10: 0.27}, </v>
      </c>
      <c r="L82" t="str">
        <f t="shared" si="4"/>
        <v xml:space="preserve">{Fty_Ftu: 0.6, Dw: 0.3, Fty_E_eu_0: 0.71, Fty_E_eu_1: 0.69, Fty_E_eu_2: 0.66, Fty_E_eu_4: 0.53, Fty_E_eu_6: 0.41, Fty_E_eu_8: 0.33, Fty_E_eu_10: 0.27}, </v>
      </c>
    </row>
    <row r="83" spans="2:12" x14ac:dyDescent="0.3">
      <c r="B83" t="str">
        <f t="shared" si="1"/>
        <v xml:space="preserve">{Fty_Ftu: 0.6, </v>
      </c>
      <c r="C83" t="str">
        <f t="shared" ref="B83:J83" si="10">_xlfn.CONCAT(C$75,": ",C11, ", ")</f>
        <v xml:space="preserve">Dw: 0.35, </v>
      </c>
      <c r="D83" t="str">
        <f t="shared" si="10"/>
        <v xml:space="preserve">Fty_E_eu_0: 0.72, </v>
      </c>
      <c r="E83" t="str">
        <f t="shared" si="10"/>
        <v xml:space="preserve">Fty_E_eu_1: 0.7, </v>
      </c>
      <c r="F83" t="str">
        <f t="shared" si="10"/>
        <v xml:space="preserve">Fty_E_eu_2: 0.68, </v>
      </c>
      <c r="G83" t="str">
        <f t="shared" si="10"/>
        <v xml:space="preserve">Fty_E_eu_4: 0.57, </v>
      </c>
      <c r="H83" t="str">
        <f t="shared" si="10"/>
        <v xml:space="preserve">Fty_E_eu_6: 0.45, </v>
      </c>
      <c r="I83" t="str">
        <f t="shared" si="10"/>
        <v xml:space="preserve">Fty_E_eu_8: 0.37, </v>
      </c>
      <c r="J83" t="str">
        <f t="shared" si="3"/>
        <v xml:space="preserve">Fty_E_eu_10: 0.31}, </v>
      </c>
      <c r="L83" t="str">
        <f t="shared" si="4"/>
        <v xml:space="preserve">{Fty_Ftu: 0.6, Dw: 0.35, Fty_E_eu_0: 0.72, Fty_E_eu_1: 0.7, Fty_E_eu_2: 0.68, Fty_E_eu_4: 0.57, Fty_E_eu_6: 0.45, Fty_E_eu_8: 0.37, Fty_E_eu_10: 0.31}, </v>
      </c>
    </row>
    <row r="84" spans="2:12" x14ac:dyDescent="0.3">
      <c r="B84" t="str">
        <f t="shared" si="1"/>
        <v xml:space="preserve">{Fty_Ftu: 0.6, </v>
      </c>
      <c r="C84" t="str">
        <f t="shared" ref="B84:J84" si="11">_xlfn.CONCAT(C$75,": ",C12, ", ")</f>
        <v xml:space="preserve">Dw: 0.4, </v>
      </c>
      <c r="D84" t="str">
        <f t="shared" si="11"/>
        <v xml:space="preserve">Fty_E_eu_0: 0.73, </v>
      </c>
      <c r="E84" t="str">
        <f t="shared" si="11"/>
        <v xml:space="preserve">Fty_E_eu_1: 0.71, </v>
      </c>
      <c r="F84" t="str">
        <f t="shared" si="11"/>
        <v xml:space="preserve">Fty_E_eu_2: 0.69, </v>
      </c>
      <c r="G84" t="str">
        <f t="shared" si="11"/>
        <v xml:space="preserve">Fty_E_eu_4: 0.61, </v>
      </c>
      <c r="H84" t="str">
        <f t="shared" si="11"/>
        <v xml:space="preserve">Fty_E_eu_6: 0.49, </v>
      </c>
      <c r="I84" t="str">
        <f t="shared" si="11"/>
        <v xml:space="preserve">Fty_E_eu_8: 0.4, </v>
      </c>
      <c r="J84" t="str">
        <f t="shared" si="3"/>
        <v xml:space="preserve">Fty_E_eu_10: 0.34}, </v>
      </c>
      <c r="L84" t="str">
        <f t="shared" si="4"/>
        <v xml:space="preserve">{Fty_Ftu: 0.6, Dw: 0.4, Fty_E_eu_0: 0.73, Fty_E_eu_1: 0.71, Fty_E_eu_2: 0.69, Fty_E_eu_4: 0.61, Fty_E_eu_6: 0.49, Fty_E_eu_8: 0.4, Fty_E_eu_10: 0.34}, </v>
      </c>
    </row>
    <row r="85" spans="2:12" x14ac:dyDescent="0.3">
      <c r="B85" t="str">
        <f t="shared" si="1"/>
        <v xml:space="preserve">{Fty_Ftu: 0.6, </v>
      </c>
      <c r="C85" t="str">
        <f t="shared" ref="B85:J85" si="12">_xlfn.CONCAT(C$75,": ",C13, ", ")</f>
        <v xml:space="preserve">Dw: 0.45, </v>
      </c>
      <c r="D85" t="str">
        <f t="shared" si="12"/>
        <v xml:space="preserve">Fty_E_eu_0: 0.74, </v>
      </c>
      <c r="E85" t="str">
        <f t="shared" si="12"/>
        <v xml:space="preserve">Fty_E_eu_1: 0.72, </v>
      </c>
      <c r="F85" t="str">
        <f t="shared" si="12"/>
        <v xml:space="preserve">Fty_E_eu_2: 0.7, </v>
      </c>
      <c r="G85" t="str">
        <f t="shared" si="12"/>
        <v xml:space="preserve">Fty_E_eu_4: 0.63, </v>
      </c>
      <c r="H85" t="str">
        <f t="shared" si="12"/>
        <v xml:space="preserve">Fty_E_eu_6: 0.53, </v>
      </c>
      <c r="I85" t="str">
        <f t="shared" si="12"/>
        <v xml:space="preserve">Fty_E_eu_8: 0.43, </v>
      </c>
      <c r="J85" t="str">
        <f t="shared" si="3"/>
        <v xml:space="preserve">Fty_E_eu_10: 0.36}, </v>
      </c>
      <c r="L85" t="str">
        <f t="shared" si="4"/>
        <v xml:space="preserve">{Fty_Ftu: 0.6, Dw: 0.45, Fty_E_eu_0: 0.74, Fty_E_eu_1: 0.72, Fty_E_eu_2: 0.7, Fty_E_eu_4: 0.63, Fty_E_eu_6: 0.53, Fty_E_eu_8: 0.43, Fty_E_eu_10: 0.36}, </v>
      </c>
    </row>
    <row r="86" spans="2:12" x14ac:dyDescent="0.3">
      <c r="B86" t="str">
        <f t="shared" si="1"/>
        <v xml:space="preserve">{Fty_Ftu: 0.6, </v>
      </c>
      <c r="C86" t="str">
        <f t="shared" ref="B86:J86" si="13">_xlfn.CONCAT(C$75,": ",C14, ", ")</f>
        <v xml:space="preserve">Dw: 0.5, </v>
      </c>
      <c r="D86" t="str">
        <f t="shared" si="13"/>
        <v xml:space="preserve">Fty_E_eu_0: 0.76, </v>
      </c>
      <c r="E86" t="str">
        <f t="shared" si="13"/>
        <v xml:space="preserve">Fty_E_eu_1: 0.74, </v>
      </c>
      <c r="F86" t="str">
        <f t="shared" si="13"/>
        <v xml:space="preserve">Fty_E_eu_2: 0.72, </v>
      </c>
      <c r="G86" t="str">
        <f t="shared" si="13"/>
        <v xml:space="preserve">Fty_E_eu_4: 0.64, </v>
      </c>
      <c r="H86" t="str">
        <f t="shared" si="13"/>
        <v xml:space="preserve">Fty_E_eu_6: 0.56, </v>
      </c>
      <c r="I86" t="str">
        <f t="shared" si="13"/>
        <v xml:space="preserve">Fty_E_eu_8: 0.46, </v>
      </c>
      <c r="J86" t="str">
        <f t="shared" si="3"/>
        <v xml:space="preserve">Fty_E_eu_10: 0.4}, </v>
      </c>
      <c r="L86" t="str">
        <f t="shared" si="4"/>
        <v xml:space="preserve">{Fty_Ftu: 0.6, Dw: 0.5, Fty_E_eu_0: 0.76, Fty_E_eu_1: 0.74, Fty_E_eu_2: 0.72, Fty_E_eu_4: 0.64, Fty_E_eu_6: 0.56, Fty_E_eu_8: 0.46, Fty_E_eu_10: 0.4}, </v>
      </c>
    </row>
    <row r="87" spans="2:12" x14ac:dyDescent="0.3">
      <c r="B87" t="str">
        <f t="shared" si="1"/>
        <v xml:space="preserve">{Fty_Ftu: 0.6, </v>
      </c>
      <c r="C87" t="str">
        <f t="shared" ref="B87:J87" si="14">_xlfn.CONCAT(C$75,": ",C15, ", ")</f>
        <v xml:space="preserve">Dw: 0.55, </v>
      </c>
      <c r="D87" t="str">
        <f t="shared" si="14"/>
        <v xml:space="preserve">Fty_E_eu_0: 0.77, </v>
      </c>
      <c r="E87" t="str">
        <f t="shared" si="14"/>
        <v xml:space="preserve">Fty_E_eu_1: 0.76, </v>
      </c>
      <c r="F87" t="str">
        <f t="shared" si="14"/>
        <v xml:space="preserve">Fty_E_eu_2: 0.73, </v>
      </c>
      <c r="G87" t="str">
        <f t="shared" si="14"/>
        <v xml:space="preserve">Fty_E_eu_4: 0.66, </v>
      </c>
      <c r="H87" t="str">
        <f t="shared" si="14"/>
        <v xml:space="preserve">Fty_E_eu_6: 0.59, </v>
      </c>
      <c r="I87" t="str">
        <f t="shared" si="14"/>
        <v xml:space="preserve">Fty_E_eu_8: 0.5, </v>
      </c>
      <c r="J87" t="str">
        <f t="shared" si="3"/>
        <v xml:space="preserve">Fty_E_eu_10: 0.43}, </v>
      </c>
      <c r="L87" t="str">
        <f t="shared" si="4"/>
        <v xml:space="preserve">{Fty_Ftu: 0.6, Dw: 0.55, Fty_E_eu_0: 0.77, Fty_E_eu_1: 0.76, Fty_E_eu_2: 0.73, Fty_E_eu_4: 0.66, Fty_E_eu_6: 0.59, Fty_E_eu_8: 0.5, Fty_E_eu_10: 0.43}, </v>
      </c>
    </row>
    <row r="88" spans="2:12" x14ac:dyDescent="0.3">
      <c r="B88" t="str">
        <f t="shared" si="1"/>
        <v xml:space="preserve">{Fty_Ftu: 0.6, </v>
      </c>
      <c r="C88" t="str">
        <f t="shared" ref="B88:J88" si="15">_xlfn.CONCAT(C$75,": ",C16, ", ")</f>
        <v xml:space="preserve">Dw: 0.6, </v>
      </c>
      <c r="D88" t="str">
        <f t="shared" si="15"/>
        <v xml:space="preserve">Fty_E_eu_0: 0.78, </v>
      </c>
      <c r="E88" t="str">
        <f t="shared" si="15"/>
        <v xml:space="preserve">Fty_E_eu_1: 0.77, </v>
      </c>
      <c r="F88" t="str">
        <f t="shared" si="15"/>
        <v xml:space="preserve">Fty_E_eu_2: 0.74, </v>
      </c>
      <c r="G88" t="str">
        <f t="shared" si="15"/>
        <v xml:space="preserve">Fty_E_eu_4: 0.68, </v>
      </c>
      <c r="H88" t="str">
        <f t="shared" si="15"/>
        <v xml:space="preserve">Fty_E_eu_6: 0.62, </v>
      </c>
      <c r="I88" t="str">
        <f t="shared" si="15"/>
        <v xml:space="preserve">Fty_E_eu_8: 0.53, </v>
      </c>
      <c r="J88" t="str">
        <f t="shared" si="3"/>
        <v xml:space="preserve">Fty_E_eu_10: 0.45}, </v>
      </c>
      <c r="L88" t="str">
        <f t="shared" si="4"/>
        <v xml:space="preserve">{Fty_Ftu: 0.6, Dw: 0.6, Fty_E_eu_0: 0.78, Fty_E_eu_1: 0.77, Fty_E_eu_2: 0.74, Fty_E_eu_4: 0.68, Fty_E_eu_6: 0.62, Fty_E_eu_8: 0.53, Fty_E_eu_10: 0.45}, </v>
      </c>
    </row>
    <row r="89" spans="2:12" x14ac:dyDescent="0.3">
      <c r="B89" t="str">
        <f t="shared" si="1"/>
        <v xml:space="preserve">{Fty_Ftu: 0.6, </v>
      </c>
      <c r="C89" t="str">
        <f t="shared" ref="B89:J89" si="16">_xlfn.CONCAT(C$75,": ",C17, ", ")</f>
        <v xml:space="preserve">Dw: 0.65, </v>
      </c>
      <c r="D89" t="str">
        <f t="shared" si="16"/>
        <v xml:space="preserve">Fty_E_eu_0: 0.8, </v>
      </c>
      <c r="E89" t="str">
        <f t="shared" si="16"/>
        <v xml:space="preserve">Fty_E_eu_1: 0.79, </v>
      </c>
      <c r="F89" t="str">
        <f t="shared" si="16"/>
        <v xml:space="preserve">Fty_E_eu_2: 0.77, </v>
      </c>
      <c r="G89" t="str">
        <f t="shared" si="16"/>
        <v xml:space="preserve">Fty_E_eu_4: 0.7, </v>
      </c>
      <c r="H89" t="str">
        <f t="shared" si="16"/>
        <v xml:space="preserve">Fty_E_eu_6: 0.64, </v>
      </c>
      <c r="I89" t="str">
        <f t="shared" si="16"/>
        <v xml:space="preserve">Fty_E_eu_8: 0.57, </v>
      </c>
      <c r="J89" t="str">
        <f t="shared" si="3"/>
        <v xml:space="preserve">Fty_E_eu_10: 0.49}, </v>
      </c>
      <c r="L89" t="str">
        <f t="shared" si="4"/>
        <v xml:space="preserve">{Fty_Ftu: 0.6, Dw: 0.65, Fty_E_eu_0: 0.8, Fty_E_eu_1: 0.79, Fty_E_eu_2: 0.77, Fty_E_eu_4: 0.7, Fty_E_eu_6: 0.64, Fty_E_eu_8: 0.57, Fty_E_eu_10: 0.49}, </v>
      </c>
    </row>
    <row r="90" spans="2:12" x14ac:dyDescent="0.3">
      <c r="B90" t="str">
        <f t="shared" si="1"/>
        <v xml:space="preserve">{Fty_Ftu: 0.6, </v>
      </c>
      <c r="C90" t="str">
        <f t="shared" ref="B90:J90" si="17">_xlfn.CONCAT(C$75,": ",C18, ", ")</f>
        <v xml:space="preserve">Dw: 0.7, </v>
      </c>
      <c r="D90" t="str">
        <f t="shared" si="17"/>
        <v xml:space="preserve">Fty_E_eu_0: 0.82, </v>
      </c>
      <c r="E90" t="str">
        <f t="shared" si="17"/>
        <v xml:space="preserve">Fty_E_eu_1: 0.81, </v>
      </c>
      <c r="F90" t="str">
        <f t="shared" si="17"/>
        <v xml:space="preserve">Fty_E_eu_2: 0.78, </v>
      </c>
      <c r="G90" t="str">
        <f t="shared" si="17"/>
        <v xml:space="preserve">Fty_E_eu_4: 0.73, </v>
      </c>
      <c r="H90" t="str">
        <f t="shared" si="17"/>
        <v xml:space="preserve">Fty_E_eu_6: 0.68, </v>
      </c>
      <c r="I90" t="str">
        <f t="shared" si="17"/>
        <v xml:space="preserve">Fty_E_eu_8: 0.61, </v>
      </c>
      <c r="J90" t="str">
        <f t="shared" si="3"/>
        <v xml:space="preserve">Fty_E_eu_10: 0.53}, </v>
      </c>
      <c r="L90" t="str">
        <f t="shared" si="4"/>
        <v xml:space="preserve">{Fty_Ftu: 0.6, Dw: 0.7, Fty_E_eu_0: 0.82, Fty_E_eu_1: 0.81, Fty_E_eu_2: 0.78, Fty_E_eu_4: 0.73, Fty_E_eu_6: 0.68, Fty_E_eu_8: 0.61, Fty_E_eu_10: 0.53}, </v>
      </c>
    </row>
    <row r="91" spans="2:12" x14ac:dyDescent="0.3">
      <c r="B91" t="str">
        <f t="shared" si="1"/>
        <v xml:space="preserve">{Fty_Ftu: 0.6, </v>
      </c>
      <c r="C91" t="str">
        <f t="shared" ref="B91:J91" si="18">_xlfn.CONCAT(C$75,": ",C19, ", ")</f>
        <v xml:space="preserve">Dw: 0.75, </v>
      </c>
      <c r="D91" t="str">
        <f t="shared" si="18"/>
        <v xml:space="preserve">Fty_E_eu_0: 0.84, </v>
      </c>
      <c r="E91" t="str">
        <f t="shared" si="18"/>
        <v xml:space="preserve">Fty_E_eu_1: 0.82, </v>
      </c>
      <c r="F91" t="str">
        <f t="shared" si="18"/>
        <v xml:space="preserve">Fty_E_eu_2: 0.81, </v>
      </c>
      <c r="G91" t="str">
        <f t="shared" si="18"/>
        <v xml:space="preserve">Fty_E_eu_4: 0.77, </v>
      </c>
      <c r="H91" t="str">
        <f t="shared" si="18"/>
        <v xml:space="preserve">Fty_E_eu_6: 0.72, </v>
      </c>
      <c r="I91" t="str">
        <f t="shared" si="18"/>
        <v xml:space="preserve">Fty_E_eu_8: 0.66, </v>
      </c>
      <c r="J91" t="str">
        <f t="shared" si="3"/>
        <v xml:space="preserve">Fty_E_eu_10: 0.58}, </v>
      </c>
      <c r="L91" t="str">
        <f t="shared" si="4"/>
        <v xml:space="preserve">{Fty_Ftu: 0.6, Dw: 0.75, Fty_E_eu_0: 0.84, Fty_E_eu_1: 0.82, Fty_E_eu_2: 0.81, Fty_E_eu_4: 0.77, Fty_E_eu_6: 0.72, Fty_E_eu_8: 0.66, Fty_E_eu_10: 0.58}, </v>
      </c>
    </row>
    <row r="92" spans="2:12" x14ac:dyDescent="0.3">
      <c r="B92" t="str">
        <f t="shared" si="1"/>
        <v xml:space="preserve">{Fty_Ftu: 0.6, </v>
      </c>
      <c r="C92" t="str">
        <f t="shared" ref="B92:J92" si="19">_xlfn.CONCAT(C$75,": ",C20, ", ")</f>
        <v xml:space="preserve">Dw: 0.8, </v>
      </c>
      <c r="D92" t="str">
        <f t="shared" si="19"/>
        <v xml:space="preserve">Fty_E_eu_0: 0.86, </v>
      </c>
      <c r="E92" t="str">
        <f t="shared" si="19"/>
        <v xml:space="preserve">Fty_E_eu_1: 0.84, </v>
      </c>
      <c r="F92" t="str">
        <f t="shared" si="19"/>
        <v xml:space="preserve">Fty_E_eu_2: 0.84, </v>
      </c>
      <c r="G92" t="str">
        <f t="shared" si="19"/>
        <v xml:space="preserve">Fty_E_eu_4: 0.8, </v>
      </c>
      <c r="H92" t="str">
        <f t="shared" si="19"/>
        <v xml:space="preserve">Fty_E_eu_6: 0.76, </v>
      </c>
      <c r="I92" t="str">
        <f t="shared" si="19"/>
        <v xml:space="preserve">Fty_E_eu_8: 0.71, </v>
      </c>
      <c r="J92" t="str">
        <f t="shared" si="3"/>
        <v xml:space="preserve">Fty_E_eu_10: 0.64}, </v>
      </c>
      <c r="L92" t="str">
        <f t="shared" si="4"/>
        <v xml:space="preserve">{Fty_Ftu: 0.6, Dw: 0.8, Fty_E_eu_0: 0.86, Fty_E_eu_1: 0.84, Fty_E_eu_2: 0.84, Fty_E_eu_4: 0.8, Fty_E_eu_6: 0.76, Fty_E_eu_8: 0.71, Fty_E_eu_10: 0.64}, </v>
      </c>
    </row>
    <row r="93" spans="2:12" x14ac:dyDescent="0.3">
      <c r="B93" t="str">
        <f t="shared" si="1"/>
        <v xml:space="preserve">{Fty_Ftu: 0.6, </v>
      </c>
      <c r="C93" t="str">
        <f t="shared" ref="B93:J93" si="20">_xlfn.CONCAT(C$75,": ",C21, ", ")</f>
        <v xml:space="preserve">Dw: 0.85, </v>
      </c>
      <c r="D93" t="str">
        <f t="shared" si="20"/>
        <v xml:space="preserve">Fty_E_eu_0: 0.88, </v>
      </c>
      <c r="E93" t="str">
        <f t="shared" si="20"/>
        <v xml:space="preserve">Fty_E_eu_1: 0.87, </v>
      </c>
      <c r="F93" t="str">
        <f t="shared" si="20"/>
        <v xml:space="preserve">Fty_E_eu_2: 0.87, </v>
      </c>
      <c r="G93" t="str">
        <f t="shared" si="20"/>
        <v xml:space="preserve">Fty_E_eu_4: 0.84, </v>
      </c>
      <c r="H93" t="str">
        <f t="shared" si="20"/>
        <v xml:space="preserve">Fty_E_eu_6: 0.81, </v>
      </c>
      <c r="I93" t="str">
        <f t="shared" si="20"/>
        <v xml:space="preserve">Fty_E_eu_8: 0.77, </v>
      </c>
      <c r="J93" t="str">
        <f t="shared" si="3"/>
        <v xml:space="preserve">Fty_E_eu_10: 0.71}, </v>
      </c>
      <c r="L93" t="str">
        <f t="shared" si="4"/>
        <v xml:space="preserve">{Fty_Ftu: 0.6, Dw: 0.85, Fty_E_eu_0: 0.88, Fty_E_eu_1: 0.87, Fty_E_eu_2: 0.87, Fty_E_eu_4: 0.84, Fty_E_eu_6: 0.81, Fty_E_eu_8: 0.77, Fty_E_eu_10: 0.71}, </v>
      </c>
    </row>
    <row r="94" spans="2:12" x14ac:dyDescent="0.3">
      <c r="B94" t="str">
        <f t="shared" si="1"/>
        <v xml:space="preserve">{Fty_Ftu: 0.6, </v>
      </c>
      <c r="C94" t="str">
        <f t="shared" ref="B94:J94" si="21">_xlfn.CONCAT(C$75,": ",C22, ", ")</f>
        <v xml:space="preserve">Dw: 0.9, </v>
      </c>
      <c r="D94" t="str">
        <f t="shared" si="21"/>
        <v xml:space="preserve">Fty_E_eu_0: 0.91, </v>
      </c>
      <c r="E94" t="str">
        <f t="shared" si="21"/>
        <v xml:space="preserve">Fty_E_eu_1: 0.9, </v>
      </c>
      <c r="F94" t="str">
        <f t="shared" si="21"/>
        <v xml:space="preserve">Fty_E_eu_2: 0.9, </v>
      </c>
      <c r="G94" t="str">
        <f t="shared" si="21"/>
        <v xml:space="preserve">Fty_E_eu_4: 0.88, </v>
      </c>
      <c r="H94" t="str">
        <f t="shared" si="21"/>
        <v xml:space="preserve">Fty_E_eu_6: 0.86, </v>
      </c>
      <c r="I94" t="str">
        <f t="shared" si="21"/>
        <v xml:space="preserve">Fty_E_eu_8: 0.83, </v>
      </c>
      <c r="J94" t="str">
        <f t="shared" si="3"/>
        <v xml:space="preserve">Fty_E_eu_10: 0.79}, </v>
      </c>
      <c r="L94" t="str">
        <f t="shared" si="4"/>
        <v xml:space="preserve">{Fty_Ftu: 0.6, Dw: 0.9, Fty_E_eu_0: 0.91, Fty_E_eu_1: 0.9, Fty_E_eu_2: 0.9, Fty_E_eu_4: 0.88, Fty_E_eu_6: 0.86, Fty_E_eu_8: 0.83, Fty_E_eu_10: 0.79}, </v>
      </c>
    </row>
    <row r="95" spans="2:12" x14ac:dyDescent="0.3">
      <c r="B95" t="str">
        <f t="shared" si="1"/>
        <v xml:space="preserve">{Fty_Ftu: 0.6, </v>
      </c>
      <c r="C95" t="str">
        <f t="shared" ref="B95:J95" si="22">_xlfn.CONCAT(C$75,": ",C23, ", ")</f>
        <v xml:space="preserve">Dw: 0.95, </v>
      </c>
      <c r="D95" t="str">
        <f t="shared" si="22"/>
        <v xml:space="preserve">Fty_E_eu_0: 0.95, </v>
      </c>
      <c r="E95" t="str">
        <f t="shared" si="22"/>
        <v xml:space="preserve">Fty_E_eu_1: 0.95, </v>
      </c>
      <c r="F95" t="str">
        <f t="shared" si="22"/>
        <v xml:space="preserve">Fty_E_eu_2: 0.95, </v>
      </c>
      <c r="G95" t="str">
        <f t="shared" si="22"/>
        <v xml:space="preserve">Fty_E_eu_4: 0.94, </v>
      </c>
      <c r="H95" t="str">
        <f t="shared" si="22"/>
        <v xml:space="preserve">Fty_E_eu_6: 0.94, </v>
      </c>
      <c r="I95" t="str">
        <f t="shared" si="22"/>
        <v xml:space="preserve">Fty_E_eu_8: 0.92, </v>
      </c>
      <c r="J95" t="str">
        <f t="shared" si="3"/>
        <v xml:space="preserve">Fty_E_eu_10: 0.89}, </v>
      </c>
      <c r="L95" t="str">
        <f t="shared" si="4"/>
        <v xml:space="preserve">{Fty_Ftu: 0.6, Dw: 0.95, Fty_E_eu_0: 0.95, Fty_E_eu_1: 0.95, Fty_E_eu_2: 0.95, Fty_E_eu_4: 0.94, Fty_E_eu_6: 0.94, Fty_E_eu_8: 0.92, Fty_E_eu_10: 0.89}, </v>
      </c>
    </row>
    <row r="96" spans="2:12" x14ac:dyDescent="0.3">
      <c r="B96" t="str">
        <f t="shared" si="1"/>
        <v xml:space="preserve">{Fty_Ftu: 0.6, </v>
      </c>
      <c r="C96" t="str">
        <f t="shared" ref="B96:J96" si="23">_xlfn.CONCAT(C$75,": ",C24, ", ")</f>
        <v xml:space="preserve">Dw: 1, </v>
      </c>
      <c r="D96" t="str">
        <f t="shared" si="23"/>
        <v xml:space="preserve">Fty_E_eu_0: 1, </v>
      </c>
      <c r="E96" t="str">
        <f t="shared" si="23"/>
        <v xml:space="preserve">Fty_E_eu_1: 1, </v>
      </c>
      <c r="F96" t="str">
        <f t="shared" si="23"/>
        <v xml:space="preserve">Fty_E_eu_2: 1, </v>
      </c>
      <c r="G96" t="str">
        <f t="shared" si="23"/>
        <v xml:space="preserve">Fty_E_eu_4: 1, </v>
      </c>
      <c r="H96" t="str">
        <f t="shared" si="23"/>
        <v xml:space="preserve">Fty_E_eu_6: 1, </v>
      </c>
      <c r="I96" t="str">
        <f t="shared" si="23"/>
        <v xml:space="preserve">Fty_E_eu_8: 1, </v>
      </c>
      <c r="J96" t="str">
        <f t="shared" si="3"/>
        <v xml:space="preserve">Fty_E_eu_10: 1}, </v>
      </c>
      <c r="L96" t="str">
        <f t="shared" si="4"/>
        <v xml:space="preserve">{Fty_Ftu: 0.6, Dw: 1, Fty_E_eu_0: 1, Fty_E_eu_1: 1, Fty_E_eu_2: 1, Fty_E_eu_4: 1, Fty_E_eu_6: 1, Fty_E_eu_8: 1, Fty_E_eu_10: 1}, </v>
      </c>
    </row>
    <row r="97" spans="2:12" x14ac:dyDescent="0.3">
      <c r="B97" t="str">
        <f t="shared" si="1"/>
        <v xml:space="preserve">{Fty_Ftu: 0.8, </v>
      </c>
      <c r="C97" t="str">
        <f t="shared" ref="B97:J97" si="24">_xlfn.CONCAT(C$75,": ",C25, ", ")</f>
        <v xml:space="preserve">Dw: 0, </v>
      </c>
      <c r="D97" t="str">
        <f t="shared" si="24"/>
        <v xml:space="preserve">Fty_E_eu_0: 0, </v>
      </c>
      <c r="E97" t="str">
        <f t="shared" si="24"/>
        <v xml:space="preserve">Fty_E_eu_1: 0, </v>
      </c>
      <c r="F97" t="str">
        <f t="shared" si="24"/>
        <v xml:space="preserve">Fty_E_eu_2: 0, </v>
      </c>
      <c r="G97" t="str">
        <f t="shared" si="24"/>
        <v xml:space="preserve">Fty_E_eu_4: 0, </v>
      </c>
      <c r="H97" t="str">
        <f t="shared" si="24"/>
        <v xml:space="preserve">Fty_E_eu_6: 0, </v>
      </c>
      <c r="I97" t="str">
        <f t="shared" si="24"/>
        <v xml:space="preserve">Fty_E_eu_8: 0, </v>
      </c>
      <c r="J97" t="str">
        <f t="shared" si="3"/>
        <v xml:space="preserve">Fty_E_eu_10: 0}, </v>
      </c>
      <c r="L97" t="str">
        <f t="shared" si="4"/>
        <v xml:space="preserve">{Fty_Ftu: 0.8, Dw: 0, Fty_E_eu_0: 0, Fty_E_eu_1: 0, Fty_E_eu_2: 0, Fty_E_eu_4: 0, Fty_E_eu_6: 0, Fty_E_eu_8: 0, Fty_E_eu_10: 0}, </v>
      </c>
    </row>
    <row r="98" spans="2:12" x14ac:dyDescent="0.3">
      <c r="B98" t="str">
        <f t="shared" si="1"/>
        <v xml:space="preserve">{Fty_Ftu: 0.8, </v>
      </c>
      <c r="C98" t="str">
        <f t="shared" ref="B98:J98" si="25">_xlfn.CONCAT(C$75,": ",C26, ", ")</f>
        <v xml:space="preserve">Dw: 0.05, </v>
      </c>
      <c r="D98" t="str">
        <f t="shared" si="25"/>
        <v xml:space="preserve">Fty_E_eu_0: 0.4, </v>
      </c>
      <c r="E98" t="str">
        <f t="shared" si="25"/>
        <v xml:space="preserve">Fty_E_eu_1: 0.38, </v>
      </c>
      <c r="F98" t="str">
        <f t="shared" si="25"/>
        <v xml:space="preserve">Fty_E_eu_2: 0.24, </v>
      </c>
      <c r="G98" t="str">
        <f t="shared" si="25"/>
        <v xml:space="preserve">Fty_E_eu_4: 0.14, </v>
      </c>
      <c r="H98" t="str">
        <f t="shared" si="25"/>
        <v xml:space="preserve">Fty_E_eu_6: 0.08, </v>
      </c>
      <c r="I98" t="str">
        <f t="shared" si="25"/>
        <v xml:space="preserve">Fty_E_eu_8: 0.07, </v>
      </c>
      <c r="J98" t="str">
        <f t="shared" si="3"/>
        <v xml:space="preserve">Fty_E_eu_10: 0.05}, </v>
      </c>
      <c r="L98" t="str">
        <f t="shared" si="4"/>
        <v xml:space="preserve">{Fty_Ftu: 0.8, Dw: 0.05, Fty_E_eu_0: 0.4, Fty_E_eu_1: 0.38, Fty_E_eu_2: 0.24, Fty_E_eu_4: 0.14, Fty_E_eu_6: 0.08, Fty_E_eu_8: 0.07, Fty_E_eu_10: 0.05}, </v>
      </c>
    </row>
    <row r="99" spans="2:12" x14ac:dyDescent="0.3">
      <c r="B99" t="str">
        <f t="shared" si="1"/>
        <v xml:space="preserve">{Fty_Ftu: 0.8, </v>
      </c>
      <c r="C99" t="str">
        <f t="shared" ref="B99:J99" si="26">_xlfn.CONCAT(C$75,": ",C27, ", ")</f>
        <v xml:space="preserve">Dw: 0.1, </v>
      </c>
      <c r="D99" t="str">
        <f t="shared" si="26"/>
        <v xml:space="preserve">Fty_E_eu_0: 0.66, </v>
      </c>
      <c r="E99" t="str">
        <f t="shared" si="26"/>
        <v xml:space="preserve">Fty_E_eu_1: 0.59, </v>
      </c>
      <c r="F99" t="str">
        <f t="shared" si="26"/>
        <v xml:space="preserve">Fty_E_eu_2: 0.42, </v>
      </c>
      <c r="G99" t="str">
        <f t="shared" si="26"/>
        <v xml:space="preserve">Fty_E_eu_4: 0.25, </v>
      </c>
      <c r="H99" t="str">
        <f t="shared" si="26"/>
        <v xml:space="preserve">Fty_E_eu_6: 0.15, </v>
      </c>
      <c r="I99" t="str">
        <f t="shared" si="26"/>
        <v xml:space="preserve">Fty_E_eu_8: 0.12, </v>
      </c>
      <c r="J99" t="str">
        <f t="shared" si="3"/>
        <v xml:space="preserve">Fty_E_eu_10: 0.1}, </v>
      </c>
      <c r="L99" t="str">
        <f t="shared" si="4"/>
        <v xml:space="preserve">{Fty_Ftu: 0.8, Dw: 0.1, Fty_E_eu_0: 0.66, Fty_E_eu_1: 0.59, Fty_E_eu_2: 0.42, Fty_E_eu_4: 0.25, Fty_E_eu_6: 0.15, Fty_E_eu_8: 0.12, Fty_E_eu_10: 0.1}, </v>
      </c>
    </row>
    <row r="100" spans="2:12" x14ac:dyDescent="0.3">
      <c r="B100" t="str">
        <f t="shared" si="1"/>
        <v xml:space="preserve">{Fty_Ftu: 0.8, </v>
      </c>
      <c r="C100" t="str">
        <f t="shared" ref="B100:J100" si="27">_xlfn.CONCAT(C$75,": ",C28, ", ")</f>
        <v xml:space="preserve">Dw: 0.15, </v>
      </c>
      <c r="D100" t="str">
        <f t="shared" si="27"/>
        <v xml:space="preserve">Fty_E_eu_0: 0.79, </v>
      </c>
      <c r="E100" t="str">
        <f t="shared" si="27"/>
        <v xml:space="preserve">Fty_E_eu_1: 0.73, </v>
      </c>
      <c r="F100" t="str">
        <f t="shared" si="27"/>
        <v xml:space="preserve">Fty_E_eu_2: 0.56, </v>
      </c>
      <c r="G100" t="str">
        <f t="shared" si="27"/>
        <v xml:space="preserve">Fty_E_eu_4: 0.35, </v>
      </c>
      <c r="H100" t="str">
        <f t="shared" si="27"/>
        <v xml:space="preserve">Fty_E_eu_6: 0.22, </v>
      </c>
      <c r="I100" t="str">
        <f t="shared" si="27"/>
        <v xml:space="preserve">Fty_E_eu_8: 0.18, </v>
      </c>
      <c r="J100" t="str">
        <f t="shared" si="3"/>
        <v xml:space="preserve">Fty_E_eu_10: 0.15}, </v>
      </c>
      <c r="L100" t="str">
        <f t="shared" si="4"/>
        <v xml:space="preserve">{Fty_Ftu: 0.8, Dw: 0.15, Fty_E_eu_0: 0.79, Fty_E_eu_1: 0.73, Fty_E_eu_2: 0.56, Fty_E_eu_4: 0.35, Fty_E_eu_6: 0.22, Fty_E_eu_8: 0.18, Fty_E_eu_10: 0.15}, </v>
      </c>
    </row>
    <row r="101" spans="2:12" x14ac:dyDescent="0.3">
      <c r="B101" t="str">
        <f t="shared" si="1"/>
        <v xml:space="preserve">{Fty_Ftu: 0.8, </v>
      </c>
      <c r="C101" t="str">
        <f t="shared" ref="B101:J101" si="28">_xlfn.CONCAT(C$75,": ",C29, ", ")</f>
        <v xml:space="preserve">Dw: 0.2, </v>
      </c>
      <c r="D101" t="str">
        <f t="shared" si="28"/>
        <v xml:space="preserve">Fty_E_eu_0: 0.83, </v>
      </c>
      <c r="E101" t="str">
        <f t="shared" si="28"/>
        <v xml:space="preserve">Fty_E_eu_1: 0.81, </v>
      </c>
      <c r="F101" t="str">
        <f t="shared" si="28"/>
        <v xml:space="preserve">Fty_E_eu_2: 0.67, </v>
      </c>
      <c r="G101" t="str">
        <f t="shared" si="28"/>
        <v xml:space="preserve">Fty_E_eu_4: 0.43, </v>
      </c>
      <c r="H101" t="str">
        <f t="shared" si="28"/>
        <v xml:space="preserve">Fty_E_eu_6: 0.29, </v>
      </c>
      <c r="I101" t="str">
        <f t="shared" si="28"/>
        <v xml:space="preserve">Fty_E_eu_8: 0.23, </v>
      </c>
      <c r="J101" t="str">
        <f t="shared" si="3"/>
        <v xml:space="preserve">Fty_E_eu_10: 0.19}, </v>
      </c>
      <c r="L101" t="str">
        <f t="shared" si="4"/>
        <v xml:space="preserve">{Fty_Ftu: 0.8, Dw: 0.2, Fty_E_eu_0: 0.83, Fty_E_eu_1: 0.81, Fty_E_eu_2: 0.67, Fty_E_eu_4: 0.43, Fty_E_eu_6: 0.29, Fty_E_eu_8: 0.23, Fty_E_eu_10: 0.19}, </v>
      </c>
    </row>
    <row r="102" spans="2:12" x14ac:dyDescent="0.3">
      <c r="B102" t="str">
        <f t="shared" si="1"/>
        <v xml:space="preserve">{Fty_Ftu: 0.8, </v>
      </c>
      <c r="C102" t="str">
        <f t="shared" ref="B102:J102" si="29">_xlfn.CONCAT(C$75,": ",C30, ", ")</f>
        <v xml:space="preserve">Dw: 0.25, </v>
      </c>
      <c r="D102" t="str">
        <f t="shared" si="29"/>
        <v xml:space="preserve">Fty_E_eu_0: 0.84, </v>
      </c>
      <c r="E102" t="str">
        <f t="shared" si="29"/>
        <v xml:space="preserve">Fty_E_eu_1: 0.83, </v>
      </c>
      <c r="F102" t="str">
        <f t="shared" si="29"/>
        <v xml:space="preserve">Fty_E_eu_2: 0.74, </v>
      </c>
      <c r="G102" t="str">
        <f t="shared" si="29"/>
        <v xml:space="preserve">Fty_E_eu_4: 0.5, </v>
      </c>
      <c r="H102" t="str">
        <f t="shared" si="29"/>
        <v xml:space="preserve">Fty_E_eu_6: 0.36, </v>
      </c>
      <c r="I102" t="str">
        <f t="shared" si="29"/>
        <v xml:space="preserve">Fty_E_eu_8: 0.28, </v>
      </c>
      <c r="J102" t="str">
        <f t="shared" si="3"/>
        <v xml:space="preserve">Fty_E_eu_10: 0.24}, </v>
      </c>
      <c r="L102" t="str">
        <f t="shared" si="4"/>
        <v xml:space="preserve">{Fty_Ftu: 0.8, Dw: 0.25, Fty_E_eu_0: 0.84, Fty_E_eu_1: 0.83, Fty_E_eu_2: 0.74, Fty_E_eu_4: 0.5, Fty_E_eu_6: 0.36, Fty_E_eu_8: 0.28, Fty_E_eu_10: 0.24}, </v>
      </c>
    </row>
    <row r="103" spans="2:12" x14ac:dyDescent="0.3">
      <c r="B103" t="str">
        <f t="shared" si="1"/>
        <v xml:space="preserve">{Fty_Ftu: 0.8, </v>
      </c>
      <c r="C103" t="str">
        <f t="shared" ref="B103:J103" si="30">_xlfn.CONCAT(C$75,": ",C31, ", ")</f>
        <v xml:space="preserve">Dw: 0.3, </v>
      </c>
      <c r="D103" t="str">
        <f t="shared" si="30"/>
        <v xml:space="preserve">Fty_E_eu_0: 0.85, </v>
      </c>
      <c r="E103" t="str">
        <f t="shared" si="30"/>
        <v xml:space="preserve">Fty_E_eu_1: 0.84, </v>
      </c>
      <c r="F103" t="str">
        <f t="shared" si="30"/>
        <v xml:space="preserve">Fty_E_eu_2: 0.77, </v>
      </c>
      <c r="G103" t="str">
        <f t="shared" si="30"/>
        <v xml:space="preserve">Fty_E_eu_4: 0.56, </v>
      </c>
      <c r="H103" t="str">
        <f t="shared" si="30"/>
        <v xml:space="preserve">Fty_E_eu_6: 0.42, </v>
      </c>
      <c r="I103" t="str">
        <f t="shared" si="30"/>
        <v xml:space="preserve">Fty_E_eu_8: 0.33, </v>
      </c>
      <c r="J103" t="str">
        <f t="shared" si="3"/>
        <v xml:space="preserve">Fty_E_eu_10: 0.28}, </v>
      </c>
      <c r="L103" t="str">
        <f t="shared" si="4"/>
        <v xml:space="preserve">{Fty_Ftu: 0.8, Dw: 0.3, Fty_E_eu_0: 0.85, Fty_E_eu_1: 0.84, Fty_E_eu_2: 0.77, Fty_E_eu_4: 0.56, Fty_E_eu_6: 0.42, Fty_E_eu_8: 0.33, Fty_E_eu_10: 0.28}, </v>
      </c>
    </row>
    <row r="104" spans="2:12" x14ac:dyDescent="0.3">
      <c r="B104" t="str">
        <f t="shared" si="1"/>
        <v xml:space="preserve">{Fty_Ftu: 0.8, </v>
      </c>
      <c r="C104" t="str">
        <f t="shared" ref="B104:J104" si="31">_xlfn.CONCAT(C$75,": ",C32, ", ")</f>
        <v xml:space="preserve">Dw: 0.35, </v>
      </c>
      <c r="D104" t="str">
        <f t="shared" si="31"/>
        <v xml:space="preserve">Fty_E_eu_0: 0.85, </v>
      </c>
      <c r="E104" t="str">
        <f t="shared" si="31"/>
        <v xml:space="preserve">Fty_E_eu_1: 0.85, </v>
      </c>
      <c r="F104" t="str">
        <f t="shared" si="31"/>
        <v xml:space="preserve">Fty_E_eu_2: 0.8, </v>
      </c>
      <c r="G104" t="str">
        <f t="shared" si="31"/>
        <v xml:space="preserve">Fty_E_eu_4: 0.62, </v>
      </c>
      <c r="H104" t="str">
        <f t="shared" si="31"/>
        <v xml:space="preserve">Fty_E_eu_6: 0.48, </v>
      </c>
      <c r="I104" t="str">
        <f t="shared" si="31"/>
        <v xml:space="preserve">Fty_E_eu_8: 0.37, </v>
      </c>
      <c r="J104" t="str">
        <f t="shared" si="3"/>
        <v xml:space="preserve">Fty_E_eu_10: 0.31}, </v>
      </c>
      <c r="L104" t="str">
        <f t="shared" si="4"/>
        <v xml:space="preserve">{Fty_Ftu: 0.8, Dw: 0.35, Fty_E_eu_0: 0.85, Fty_E_eu_1: 0.85, Fty_E_eu_2: 0.8, Fty_E_eu_4: 0.62, Fty_E_eu_6: 0.48, Fty_E_eu_8: 0.37, Fty_E_eu_10: 0.31}, </v>
      </c>
    </row>
    <row r="105" spans="2:12" x14ac:dyDescent="0.3">
      <c r="B105" t="str">
        <f t="shared" si="1"/>
        <v xml:space="preserve">{Fty_Ftu: 0.8, </v>
      </c>
      <c r="C105" t="str">
        <f t="shared" ref="B105:J105" si="32">_xlfn.CONCAT(C$75,": ",C33, ", ")</f>
        <v xml:space="preserve">Dw: 0.4, </v>
      </c>
      <c r="D105" t="str">
        <f t="shared" si="32"/>
        <v xml:space="preserve">Fty_E_eu_0: 0.86, </v>
      </c>
      <c r="E105" t="str">
        <f t="shared" si="32"/>
        <v xml:space="preserve">Fty_E_eu_1: 0.86, </v>
      </c>
      <c r="F105" t="str">
        <f t="shared" si="32"/>
        <v xml:space="preserve">Fty_E_eu_2: 0.81, </v>
      </c>
      <c r="G105" t="str">
        <f t="shared" si="32"/>
        <v xml:space="preserve">Fty_E_eu_4: 0.66, </v>
      </c>
      <c r="H105" t="str">
        <f t="shared" si="32"/>
        <v xml:space="preserve">Fty_E_eu_6: 0.52, </v>
      </c>
      <c r="I105" t="str">
        <f t="shared" si="32"/>
        <v xml:space="preserve">Fty_E_eu_8: 0.41, </v>
      </c>
      <c r="J105" t="str">
        <f t="shared" si="3"/>
        <v xml:space="preserve">Fty_E_eu_10: 0.34}, </v>
      </c>
      <c r="L105" t="str">
        <f t="shared" si="4"/>
        <v xml:space="preserve">{Fty_Ftu: 0.8, Dw: 0.4, Fty_E_eu_0: 0.86, Fty_E_eu_1: 0.86, Fty_E_eu_2: 0.81, Fty_E_eu_4: 0.66, Fty_E_eu_6: 0.52, Fty_E_eu_8: 0.41, Fty_E_eu_10: 0.34}, </v>
      </c>
    </row>
    <row r="106" spans="2:12" x14ac:dyDescent="0.3">
      <c r="B106" t="str">
        <f t="shared" si="1"/>
        <v xml:space="preserve">{Fty_Ftu: 0.8, </v>
      </c>
      <c r="C106" t="str">
        <f t="shared" ref="B106:J106" si="33">_xlfn.CONCAT(C$75,": ",C34, ", ")</f>
        <v xml:space="preserve">Dw: 0.45, </v>
      </c>
      <c r="D106" t="str">
        <f t="shared" si="33"/>
        <v xml:space="preserve">Fty_E_eu_0: 0.86, </v>
      </c>
      <c r="E106" t="str">
        <f t="shared" si="33"/>
        <v xml:space="preserve">Fty_E_eu_1: 0.86, </v>
      </c>
      <c r="F106" t="str">
        <f t="shared" si="33"/>
        <v xml:space="preserve">Fty_E_eu_2: 0.83, </v>
      </c>
      <c r="G106" t="str">
        <f t="shared" si="33"/>
        <v xml:space="preserve">Fty_E_eu_4: 0.69, </v>
      </c>
      <c r="H106" t="str">
        <f t="shared" si="33"/>
        <v xml:space="preserve">Fty_E_eu_6: 0.56, </v>
      </c>
      <c r="I106" t="str">
        <f t="shared" si="33"/>
        <v xml:space="preserve">Fty_E_eu_8: 0.44, </v>
      </c>
      <c r="J106" t="str">
        <f t="shared" si="3"/>
        <v xml:space="preserve">Fty_E_eu_10: 0.37}, </v>
      </c>
      <c r="L106" t="str">
        <f t="shared" si="4"/>
        <v xml:space="preserve">{Fty_Ftu: 0.8, Dw: 0.45, Fty_E_eu_0: 0.86, Fty_E_eu_1: 0.86, Fty_E_eu_2: 0.83, Fty_E_eu_4: 0.69, Fty_E_eu_6: 0.56, Fty_E_eu_8: 0.44, Fty_E_eu_10: 0.37}, </v>
      </c>
    </row>
    <row r="107" spans="2:12" x14ac:dyDescent="0.3">
      <c r="B107" t="str">
        <f t="shared" si="1"/>
        <v xml:space="preserve">{Fty_Ftu: 0.8, </v>
      </c>
      <c r="C107" t="str">
        <f t="shared" ref="B107:J107" si="34">_xlfn.CONCAT(C$75,": ",C35, ", ")</f>
        <v xml:space="preserve">Dw: 0.5, </v>
      </c>
      <c r="D107" t="str">
        <f t="shared" si="34"/>
        <v xml:space="preserve">Fty_E_eu_0: 0.87, </v>
      </c>
      <c r="E107" t="str">
        <f t="shared" si="34"/>
        <v xml:space="preserve">Fty_E_eu_1: 0.87, </v>
      </c>
      <c r="F107" t="str">
        <f t="shared" si="34"/>
        <v xml:space="preserve">Fty_E_eu_2: 0.84, </v>
      </c>
      <c r="G107" t="str">
        <f t="shared" si="34"/>
        <v xml:space="preserve">Fty_E_eu_4: 0.72, </v>
      </c>
      <c r="H107" t="str">
        <f t="shared" si="34"/>
        <v xml:space="preserve">Fty_E_eu_6: 0.59, </v>
      </c>
      <c r="I107" t="str">
        <f t="shared" si="34"/>
        <v xml:space="preserve">Fty_E_eu_8: 0.47, </v>
      </c>
      <c r="J107" t="str">
        <f t="shared" si="3"/>
        <v xml:space="preserve">Fty_E_eu_10: 0.4}, </v>
      </c>
      <c r="L107" t="str">
        <f t="shared" si="4"/>
        <v xml:space="preserve">{Fty_Ftu: 0.8, Dw: 0.5, Fty_E_eu_0: 0.87, Fty_E_eu_1: 0.87, Fty_E_eu_2: 0.84, Fty_E_eu_4: 0.72, Fty_E_eu_6: 0.59, Fty_E_eu_8: 0.47, Fty_E_eu_10: 0.4}, </v>
      </c>
    </row>
    <row r="108" spans="2:12" x14ac:dyDescent="0.3">
      <c r="B108" t="str">
        <f t="shared" si="1"/>
        <v xml:space="preserve">{Fty_Ftu: 0.8, </v>
      </c>
      <c r="C108" t="str">
        <f t="shared" ref="B108:J108" si="35">_xlfn.CONCAT(C$75,": ",C36, ", ")</f>
        <v xml:space="preserve">Dw: 0.55, </v>
      </c>
      <c r="D108" t="str">
        <f t="shared" si="35"/>
        <v xml:space="preserve">Fty_E_eu_0: 0.88, </v>
      </c>
      <c r="E108" t="str">
        <f t="shared" si="35"/>
        <v xml:space="preserve">Fty_E_eu_1: 0.88, </v>
      </c>
      <c r="F108" t="str">
        <f t="shared" si="35"/>
        <v xml:space="preserve">Fty_E_eu_2: 0.84, </v>
      </c>
      <c r="G108" t="str">
        <f t="shared" si="35"/>
        <v xml:space="preserve">Fty_E_eu_4: 0.74, </v>
      </c>
      <c r="H108" t="str">
        <f t="shared" si="35"/>
        <v xml:space="preserve">Fty_E_eu_6: 0.62, </v>
      </c>
      <c r="I108" t="str">
        <f t="shared" si="35"/>
        <v xml:space="preserve">Fty_E_eu_8: 0.51, </v>
      </c>
      <c r="J108" t="str">
        <f t="shared" si="3"/>
        <v xml:space="preserve">Fty_E_eu_10: 0.44}, </v>
      </c>
      <c r="L108" t="str">
        <f t="shared" si="4"/>
        <v xml:space="preserve">{Fty_Ftu: 0.8, Dw: 0.55, Fty_E_eu_0: 0.88, Fty_E_eu_1: 0.88, Fty_E_eu_2: 0.84, Fty_E_eu_4: 0.74, Fty_E_eu_6: 0.62, Fty_E_eu_8: 0.51, Fty_E_eu_10: 0.44}, </v>
      </c>
    </row>
    <row r="109" spans="2:12" x14ac:dyDescent="0.3">
      <c r="B109" t="str">
        <f t="shared" si="1"/>
        <v xml:space="preserve">{Fty_Ftu: 0.8, </v>
      </c>
      <c r="C109" t="str">
        <f t="shared" ref="B109:J109" si="36">_xlfn.CONCAT(C$75,": ",C37, ", ")</f>
        <v xml:space="preserve">Dw: 0.6, </v>
      </c>
      <c r="D109" t="str">
        <f t="shared" si="36"/>
        <v xml:space="preserve">Fty_E_eu_0: 0.89, </v>
      </c>
      <c r="E109" t="str">
        <f t="shared" si="36"/>
        <v xml:space="preserve">Fty_E_eu_1: 0.89, </v>
      </c>
      <c r="F109" t="str">
        <f t="shared" si="36"/>
        <v xml:space="preserve">Fty_E_eu_2: 0.85, </v>
      </c>
      <c r="G109" t="str">
        <f t="shared" si="36"/>
        <v xml:space="preserve">Fty_E_eu_4: 0.76, </v>
      </c>
      <c r="H109" t="str">
        <f t="shared" si="36"/>
        <v xml:space="preserve">Fty_E_eu_6: 0.65, </v>
      </c>
      <c r="I109" t="str">
        <f t="shared" si="36"/>
        <v xml:space="preserve">Fty_E_eu_8: 0.55, </v>
      </c>
      <c r="J109" t="str">
        <f t="shared" si="3"/>
        <v xml:space="preserve">Fty_E_eu_10: 0.47}, </v>
      </c>
      <c r="L109" t="str">
        <f t="shared" si="4"/>
        <v xml:space="preserve">{Fty_Ftu: 0.8, Dw: 0.6, Fty_E_eu_0: 0.89, Fty_E_eu_1: 0.89, Fty_E_eu_2: 0.85, Fty_E_eu_4: 0.76, Fty_E_eu_6: 0.65, Fty_E_eu_8: 0.55, Fty_E_eu_10: 0.47}, </v>
      </c>
    </row>
    <row r="110" spans="2:12" x14ac:dyDescent="0.3">
      <c r="B110" t="str">
        <f t="shared" si="1"/>
        <v xml:space="preserve">{Fty_Ftu: 0.8, </v>
      </c>
      <c r="C110" t="str">
        <f t="shared" ref="B110:J110" si="37">_xlfn.CONCAT(C$75,": ",C38, ", ")</f>
        <v xml:space="preserve">Dw: 0.65, </v>
      </c>
      <c r="D110" t="str">
        <f t="shared" si="37"/>
        <v xml:space="preserve">Fty_E_eu_0: 0.9, </v>
      </c>
      <c r="E110" t="str">
        <f t="shared" si="37"/>
        <v xml:space="preserve">Fty_E_eu_1: 0.9, </v>
      </c>
      <c r="F110" t="str">
        <f t="shared" si="37"/>
        <v xml:space="preserve">Fty_E_eu_2: 0.86, </v>
      </c>
      <c r="G110" t="str">
        <f t="shared" si="37"/>
        <v xml:space="preserve">Fty_E_eu_4: 0.79, </v>
      </c>
      <c r="H110" t="str">
        <f t="shared" si="37"/>
        <v xml:space="preserve">Fty_E_eu_6: 0.68, </v>
      </c>
      <c r="I110" t="str">
        <f t="shared" si="37"/>
        <v xml:space="preserve">Fty_E_eu_8: 0.58, </v>
      </c>
      <c r="J110" t="str">
        <f t="shared" si="3"/>
        <v xml:space="preserve">Fty_E_eu_10: 0.5}, </v>
      </c>
      <c r="L110" t="str">
        <f t="shared" si="4"/>
        <v xml:space="preserve">{Fty_Ftu: 0.8, Dw: 0.65, Fty_E_eu_0: 0.9, Fty_E_eu_1: 0.9, Fty_E_eu_2: 0.86, Fty_E_eu_4: 0.79, Fty_E_eu_6: 0.68, Fty_E_eu_8: 0.58, Fty_E_eu_10: 0.5}, </v>
      </c>
    </row>
    <row r="111" spans="2:12" x14ac:dyDescent="0.3">
      <c r="B111" t="str">
        <f t="shared" si="1"/>
        <v xml:space="preserve">{Fty_Ftu: 0.8, </v>
      </c>
      <c r="C111" t="str">
        <f t="shared" ref="B111:J111" si="38">_xlfn.CONCAT(C$75,": ",C39, ", ")</f>
        <v xml:space="preserve">Dw: 0.7, </v>
      </c>
      <c r="D111" t="str">
        <f t="shared" si="38"/>
        <v xml:space="preserve">Fty_E_eu_0: 0.9, </v>
      </c>
      <c r="E111" t="str">
        <f t="shared" si="38"/>
        <v xml:space="preserve">Fty_E_eu_1: 0.9, </v>
      </c>
      <c r="F111" t="str">
        <f t="shared" si="38"/>
        <v xml:space="preserve">Fty_E_eu_2: 0.87, </v>
      </c>
      <c r="G111" t="str">
        <f t="shared" si="38"/>
        <v xml:space="preserve">Fty_E_eu_4: 0.82, </v>
      </c>
      <c r="H111" t="str">
        <f t="shared" si="38"/>
        <v xml:space="preserve">Fty_E_eu_6: 0.72, </v>
      </c>
      <c r="I111" t="str">
        <f t="shared" si="38"/>
        <v xml:space="preserve">Fty_E_eu_8: 0.63, </v>
      </c>
      <c r="J111" t="str">
        <f t="shared" si="3"/>
        <v xml:space="preserve">Fty_E_eu_10: 0.53}, </v>
      </c>
      <c r="L111" t="str">
        <f t="shared" si="4"/>
        <v xml:space="preserve">{Fty_Ftu: 0.8, Dw: 0.7, Fty_E_eu_0: 0.9, Fty_E_eu_1: 0.9, Fty_E_eu_2: 0.87, Fty_E_eu_4: 0.82, Fty_E_eu_6: 0.72, Fty_E_eu_8: 0.63, Fty_E_eu_10: 0.53}, </v>
      </c>
    </row>
    <row r="112" spans="2:12" x14ac:dyDescent="0.3">
      <c r="B112" t="str">
        <f t="shared" si="1"/>
        <v xml:space="preserve">{Fty_Ftu: 0.8, </v>
      </c>
      <c r="C112" t="str">
        <f t="shared" ref="B112:J112" si="39">_xlfn.CONCAT(C$75,": ",C40, ", ")</f>
        <v xml:space="preserve">Dw: 0.75, </v>
      </c>
      <c r="D112" t="str">
        <f t="shared" si="39"/>
        <v xml:space="preserve">Fty_E_eu_0: 0.91, </v>
      </c>
      <c r="E112" t="str">
        <f t="shared" si="39"/>
        <v xml:space="preserve">Fty_E_eu_1: 0.91, </v>
      </c>
      <c r="F112" t="str">
        <f t="shared" si="39"/>
        <v xml:space="preserve">Fty_E_eu_2: 0.89, </v>
      </c>
      <c r="G112" t="str">
        <f t="shared" si="39"/>
        <v xml:space="preserve">Fty_E_eu_4: 0.84, </v>
      </c>
      <c r="H112" t="str">
        <f t="shared" si="39"/>
        <v xml:space="preserve">Fty_E_eu_6: 0.77, </v>
      </c>
      <c r="I112" t="str">
        <f t="shared" si="39"/>
        <v xml:space="preserve">Fty_E_eu_8: 0.69, </v>
      </c>
      <c r="J112" t="str">
        <f t="shared" si="3"/>
        <v xml:space="preserve">Fty_E_eu_10: 0.58}, </v>
      </c>
      <c r="L112" t="str">
        <f t="shared" si="4"/>
        <v xml:space="preserve">{Fty_Ftu: 0.8, Dw: 0.75, Fty_E_eu_0: 0.91, Fty_E_eu_1: 0.91, Fty_E_eu_2: 0.89, Fty_E_eu_4: 0.84, Fty_E_eu_6: 0.77, Fty_E_eu_8: 0.69, Fty_E_eu_10: 0.58}, </v>
      </c>
    </row>
    <row r="113" spans="2:12" x14ac:dyDescent="0.3">
      <c r="B113" t="str">
        <f t="shared" si="1"/>
        <v xml:space="preserve">{Fty_Ftu: 0.8, </v>
      </c>
      <c r="C113" t="str">
        <f t="shared" ref="B113:J113" si="40">_xlfn.CONCAT(C$75,": ",C41, ", ")</f>
        <v xml:space="preserve">Dw: 0.8, </v>
      </c>
      <c r="D113" t="str">
        <f t="shared" si="40"/>
        <v xml:space="preserve">Fty_E_eu_0: 0.92, </v>
      </c>
      <c r="E113" t="str">
        <f t="shared" si="40"/>
        <v xml:space="preserve">Fty_E_eu_1: 0.92, </v>
      </c>
      <c r="F113" t="str">
        <f t="shared" si="40"/>
        <v xml:space="preserve">Fty_E_eu_2: 0.92, </v>
      </c>
      <c r="G113" t="str">
        <f t="shared" si="40"/>
        <v xml:space="preserve">Fty_E_eu_4: 0.88, </v>
      </c>
      <c r="H113" t="str">
        <f t="shared" si="40"/>
        <v xml:space="preserve">Fty_E_eu_6: 0.83, </v>
      </c>
      <c r="I113" t="str">
        <f t="shared" si="40"/>
        <v xml:space="preserve">Fty_E_eu_8: 0.74, </v>
      </c>
      <c r="J113" t="str">
        <f t="shared" si="3"/>
        <v xml:space="preserve">Fty_E_eu_10: 0.64}, </v>
      </c>
      <c r="L113" t="str">
        <f t="shared" si="4"/>
        <v xml:space="preserve">{Fty_Ftu: 0.8, Dw: 0.8, Fty_E_eu_0: 0.92, Fty_E_eu_1: 0.92, Fty_E_eu_2: 0.92, Fty_E_eu_4: 0.88, Fty_E_eu_6: 0.83, Fty_E_eu_8: 0.74, Fty_E_eu_10: 0.64}, </v>
      </c>
    </row>
    <row r="114" spans="2:12" x14ac:dyDescent="0.3">
      <c r="B114" t="str">
        <f t="shared" si="1"/>
        <v xml:space="preserve">{Fty_Ftu: 0.8, </v>
      </c>
      <c r="C114" t="str">
        <f t="shared" ref="B114:J114" si="41">_xlfn.CONCAT(C$75,": ",C42, ", ")</f>
        <v xml:space="preserve">Dw: 0.85, </v>
      </c>
      <c r="D114" t="str">
        <f t="shared" si="41"/>
        <v xml:space="preserve">Fty_E_eu_0: 0.94, </v>
      </c>
      <c r="E114" t="str">
        <f t="shared" si="41"/>
        <v xml:space="preserve">Fty_E_eu_1: 0.94, </v>
      </c>
      <c r="F114" t="str">
        <f t="shared" si="41"/>
        <v xml:space="preserve">Fty_E_eu_2: 0.94, </v>
      </c>
      <c r="G114" t="str">
        <f t="shared" si="41"/>
        <v xml:space="preserve">Fty_E_eu_4: 0.91, </v>
      </c>
      <c r="H114" t="str">
        <f t="shared" si="41"/>
        <v xml:space="preserve">Fty_E_eu_6: 0.87, </v>
      </c>
      <c r="I114" t="str">
        <f t="shared" si="41"/>
        <v xml:space="preserve">Fty_E_eu_8: 0.79, </v>
      </c>
      <c r="J114" t="str">
        <f t="shared" si="3"/>
        <v xml:space="preserve">Fty_E_eu_10: 0.71}, </v>
      </c>
      <c r="L114" t="str">
        <f t="shared" si="4"/>
        <v xml:space="preserve">{Fty_Ftu: 0.8, Dw: 0.85, Fty_E_eu_0: 0.94, Fty_E_eu_1: 0.94, Fty_E_eu_2: 0.94, Fty_E_eu_4: 0.91, Fty_E_eu_6: 0.87, Fty_E_eu_8: 0.79, Fty_E_eu_10: 0.71}, </v>
      </c>
    </row>
    <row r="115" spans="2:12" x14ac:dyDescent="0.3">
      <c r="B115" t="str">
        <f t="shared" si="1"/>
        <v xml:space="preserve">{Fty_Ftu: 0.8, </v>
      </c>
      <c r="C115" t="str">
        <f t="shared" ref="B115:J115" si="42">_xlfn.CONCAT(C$75,": ",C43, ", ")</f>
        <v xml:space="preserve">Dw: 0.9, </v>
      </c>
      <c r="D115" t="str">
        <f t="shared" si="42"/>
        <v xml:space="preserve">Fty_E_eu_0: 0.96, </v>
      </c>
      <c r="E115" t="str">
        <f t="shared" si="42"/>
        <v xml:space="preserve">Fty_E_eu_1: 0.96, </v>
      </c>
      <c r="F115" t="str">
        <f t="shared" si="42"/>
        <v xml:space="preserve">Fty_E_eu_2: 0.96, </v>
      </c>
      <c r="G115" t="str">
        <f t="shared" si="42"/>
        <v xml:space="preserve">Fty_E_eu_4: 0.94, </v>
      </c>
      <c r="H115" t="str">
        <f t="shared" si="42"/>
        <v xml:space="preserve">Fty_E_eu_6: 0.91, </v>
      </c>
      <c r="I115" t="str">
        <f t="shared" si="42"/>
        <v xml:space="preserve">Fty_E_eu_8: 0.85, </v>
      </c>
      <c r="J115" t="str">
        <f t="shared" si="3"/>
        <v xml:space="preserve">Fty_E_eu_10: 0.79}, </v>
      </c>
      <c r="L115" t="str">
        <f t="shared" si="4"/>
        <v xml:space="preserve">{Fty_Ftu: 0.8, Dw: 0.9, Fty_E_eu_0: 0.96, Fty_E_eu_1: 0.96, Fty_E_eu_2: 0.96, Fty_E_eu_4: 0.94, Fty_E_eu_6: 0.91, Fty_E_eu_8: 0.85, Fty_E_eu_10: 0.79}, </v>
      </c>
    </row>
    <row r="116" spans="2:12" x14ac:dyDescent="0.3">
      <c r="B116" t="str">
        <f t="shared" si="1"/>
        <v xml:space="preserve">{Fty_Ftu: 0.8, </v>
      </c>
      <c r="C116" t="str">
        <f t="shared" ref="B116:J116" si="43">_xlfn.CONCAT(C$75,": ",C44, ", ")</f>
        <v xml:space="preserve">Dw: 0.95, </v>
      </c>
      <c r="D116" t="str">
        <f t="shared" si="43"/>
        <v xml:space="preserve">Fty_E_eu_0: 0.97, </v>
      </c>
      <c r="E116" t="str">
        <f t="shared" si="43"/>
        <v xml:space="preserve">Fty_E_eu_1: 0.97, </v>
      </c>
      <c r="F116" t="str">
        <f t="shared" si="43"/>
        <v xml:space="preserve">Fty_E_eu_2: 0.97, </v>
      </c>
      <c r="G116" t="str">
        <f t="shared" si="43"/>
        <v xml:space="preserve">Fty_E_eu_4: 0.97, </v>
      </c>
      <c r="H116" t="str">
        <f t="shared" si="43"/>
        <v xml:space="preserve">Fty_E_eu_6: 0.95, </v>
      </c>
      <c r="I116" t="str">
        <f t="shared" si="43"/>
        <v xml:space="preserve">Fty_E_eu_8: 0.92, </v>
      </c>
      <c r="J116" t="str">
        <f t="shared" si="3"/>
        <v xml:space="preserve">Fty_E_eu_10: 0.88}, </v>
      </c>
      <c r="L116" t="str">
        <f t="shared" si="4"/>
        <v xml:space="preserve">{Fty_Ftu: 0.8, Dw: 0.95, Fty_E_eu_0: 0.97, Fty_E_eu_1: 0.97, Fty_E_eu_2: 0.97, Fty_E_eu_4: 0.97, Fty_E_eu_6: 0.95, Fty_E_eu_8: 0.92, Fty_E_eu_10: 0.88}, </v>
      </c>
    </row>
    <row r="117" spans="2:12" x14ac:dyDescent="0.3">
      <c r="B117" t="str">
        <f t="shared" si="1"/>
        <v xml:space="preserve">{Fty_Ftu: 0.8, </v>
      </c>
      <c r="C117" t="str">
        <f t="shared" ref="B117:J117" si="44">_xlfn.CONCAT(C$75,": ",C45, ", ")</f>
        <v xml:space="preserve">Dw: 1, </v>
      </c>
      <c r="D117" t="str">
        <f t="shared" si="44"/>
        <v xml:space="preserve">Fty_E_eu_0: 1, </v>
      </c>
      <c r="E117" t="str">
        <f t="shared" si="44"/>
        <v xml:space="preserve">Fty_E_eu_1: 1, </v>
      </c>
      <c r="F117" t="str">
        <f t="shared" si="44"/>
        <v xml:space="preserve">Fty_E_eu_2: 1, </v>
      </c>
      <c r="G117" t="str">
        <f t="shared" si="44"/>
        <v xml:space="preserve">Fty_E_eu_4: 1, </v>
      </c>
      <c r="H117" t="str">
        <f t="shared" si="44"/>
        <v xml:space="preserve">Fty_E_eu_6: 1, </v>
      </c>
      <c r="I117" t="str">
        <f t="shared" si="44"/>
        <v xml:space="preserve">Fty_E_eu_8: 1, </v>
      </c>
      <c r="J117" t="str">
        <f t="shared" si="3"/>
        <v xml:space="preserve">Fty_E_eu_10: 1}, </v>
      </c>
      <c r="L117" t="str">
        <f t="shared" si="4"/>
        <v xml:space="preserve">{Fty_Ftu: 0.8, Dw: 1, Fty_E_eu_0: 1, Fty_E_eu_1: 1, Fty_E_eu_2: 1, Fty_E_eu_4: 1, Fty_E_eu_6: 1, Fty_E_eu_8: 1, Fty_E_eu_10: 1}, </v>
      </c>
    </row>
    <row r="118" spans="2:12" x14ac:dyDescent="0.3">
      <c r="B118" t="str">
        <f t="shared" si="1"/>
        <v xml:space="preserve">{Fty_Ftu: 1, </v>
      </c>
      <c r="C118" t="str">
        <f t="shared" ref="B118:J118" si="45">_xlfn.CONCAT(C$75,": ",C46, ", ")</f>
        <v xml:space="preserve">Dw: 0, </v>
      </c>
      <c r="D118" t="str">
        <f t="shared" si="45"/>
        <v xml:space="preserve">Fty_E_eu_0: 0, </v>
      </c>
      <c r="E118" t="str">
        <f t="shared" si="45"/>
        <v xml:space="preserve">Fty_E_eu_1: 0, </v>
      </c>
      <c r="F118" t="str">
        <f t="shared" si="45"/>
        <v xml:space="preserve">Fty_E_eu_2: 0, </v>
      </c>
      <c r="G118" t="str">
        <f t="shared" si="45"/>
        <v xml:space="preserve">Fty_E_eu_4: 0, </v>
      </c>
      <c r="H118" t="str">
        <f t="shared" si="45"/>
        <v xml:space="preserve">Fty_E_eu_6: 0, </v>
      </c>
      <c r="I118" t="str">
        <f t="shared" si="45"/>
        <v xml:space="preserve">Fty_E_eu_8: 0, </v>
      </c>
      <c r="J118" t="str">
        <f t="shared" si="3"/>
        <v xml:space="preserve">Fty_E_eu_10: 0}, </v>
      </c>
      <c r="L118" t="str">
        <f t="shared" si="4"/>
        <v xml:space="preserve">{Fty_Ftu: 1, Dw: 0, Fty_E_eu_0: 0, Fty_E_eu_1: 0, Fty_E_eu_2: 0, Fty_E_eu_4: 0, Fty_E_eu_6: 0, Fty_E_eu_8: 0, Fty_E_eu_10: 0}, </v>
      </c>
    </row>
    <row r="119" spans="2:12" x14ac:dyDescent="0.3">
      <c r="B119" t="str">
        <f t="shared" si="1"/>
        <v xml:space="preserve">{Fty_Ftu: 1, </v>
      </c>
      <c r="C119" t="str">
        <f t="shared" ref="B119:J119" si="46">_xlfn.CONCAT(C$75,": ",C47, ", ")</f>
        <v xml:space="preserve">Dw: 0.05, </v>
      </c>
      <c r="D119" t="str">
        <f t="shared" si="46"/>
        <v xml:space="preserve">Fty_E_eu_0: 0.54, </v>
      </c>
      <c r="E119" t="str">
        <f t="shared" si="46"/>
        <v xml:space="preserve">Fty_E_eu_1: 0.44, </v>
      </c>
      <c r="F119" t="str">
        <f t="shared" si="46"/>
        <v xml:space="preserve">Fty_E_eu_2: 0.26, </v>
      </c>
      <c r="G119" t="str">
        <f t="shared" si="46"/>
        <v xml:space="preserve">Fty_E_eu_4: 0.13, </v>
      </c>
      <c r="H119" t="str">
        <f t="shared" si="46"/>
        <v xml:space="preserve">Fty_E_eu_6: 0.09, </v>
      </c>
      <c r="I119" t="str">
        <f t="shared" si="46"/>
        <v xml:space="preserve">Fty_E_eu_8: 0.07, </v>
      </c>
      <c r="J119" t="str">
        <f t="shared" si="3"/>
        <v xml:space="preserve">Fty_E_eu_10: 0.06}, </v>
      </c>
      <c r="L119" t="str">
        <f t="shared" si="4"/>
        <v xml:space="preserve">{Fty_Ftu: 1, Dw: 0.05, Fty_E_eu_0: 0.54, Fty_E_eu_1: 0.44, Fty_E_eu_2: 0.26, Fty_E_eu_4: 0.13, Fty_E_eu_6: 0.09, Fty_E_eu_8: 0.07, Fty_E_eu_10: 0.06}, </v>
      </c>
    </row>
    <row r="120" spans="2:12" x14ac:dyDescent="0.3">
      <c r="B120" t="str">
        <f t="shared" si="1"/>
        <v xml:space="preserve">{Fty_Ftu: 1, </v>
      </c>
      <c r="C120" t="str">
        <f t="shared" ref="B120:J120" si="47">_xlfn.CONCAT(C$75,": ",C48, ", ")</f>
        <v xml:space="preserve">Dw: 0.1, </v>
      </c>
      <c r="D120" t="str">
        <f t="shared" si="47"/>
        <v xml:space="preserve">Fty_E_eu_0: 0.78, </v>
      </c>
      <c r="E120" t="str">
        <f t="shared" si="47"/>
        <v xml:space="preserve">Fty_E_eu_1: 0.69, </v>
      </c>
      <c r="F120" t="str">
        <f t="shared" si="47"/>
        <v xml:space="preserve">Fty_E_eu_2: 0.44, </v>
      </c>
      <c r="G120" t="str">
        <f t="shared" si="47"/>
        <v xml:space="preserve">Fty_E_eu_4: 0.22, </v>
      </c>
      <c r="H120" t="str">
        <f t="shared" si="47"/>
        <v xml:space="preserve">Fty_E_eu_6: 0.16, </v>
      </c>
      <c r="I120" t="str">
        <f t="shared" si="47"/>
        <v xml:space="preserve">Fty_E_eu_8: 0.13, </v>
      </c>
      <c r="J120" t="str">
        <f t="shared" si="3"/>
        <v xml:space="preserve">Fty_E_eu_10: 0.12}, </v>
      </c>
      <c r="L120" t="str">
        <f t="shared" si="4"/>
        <v xml:space="preserve">{Fty_Ftu: 1, Dw: 0.1, Fty_E_eu_0: 0.78, Fty_E_eu_1: 0.69, Fty_E_eu_2: 0.44, Fty_E_eu_4: 0.22, Fty_E_eu_6: 0.16, Fty_E_eu_8: 0.13, Fty_E_eu_10: 0.12}, </v>
      </c>
    </row>
    <row r="121" spans="2:12" x14ac:dyDescent="0.3">
      <c r="B121" t="str">
        <f t="shared" si="1"/>
        <v xml:space="preserve">{Fty_Ftu: 1, </v>
      </c>
      <c r="C121" t="str">
        <f t="shared" ref="B121:J121" si="48">_xlfn.CONCAT(C$75,": ",C49, ", ")</f>
        <v xml:space="preserve">Dw: 0.15, </v>
      </c>
      <c r="D121" t="str">
        <f t="shared" si="48"/>
        <v xml:space="preserve">Fty_E_eu_0: 0.93, </v>
      </c>
      <c r="E121" t="str">
        <f t="shared" si="48"/>
        <v xml:space="preserve">Fty_E_eu_1: 0.86, </v>
      </c>
      <c r="F121" t="str">
        <f t="shared" si="48"/>
        <v xml:space="preserve">Fty_E_eu_2: 0.58, </v>
      </c>
      <c r="G121" t="str">
        <f t="shared" si="48"/>
        <v xml:space="preserve">Fty_E_eu_4: 0.31, </v>
      </c>
      <c r="H121" t="str">
        <f t="shared" si="48"/>
        <v xml:space="preserve">Fty_E_eu_6: 0.23, </v>
      </c>
      <c r="I121" t="str">
        <f t="shared" si="48"/>
        <v xml:space="preserve">Fty_E_eu_8: 0.18, </v>
      </c>
      <c r="J121" t="str">
        <f t="shared" si="3"/>
        <v xml:space="preserve">Fty_E_eu_10: 0.16}, </v>
      </c>
      <c r="L121" t="str">
        <f t="shared" si="4"/>
        <v xml:space="preserve">{Fty_Ftu: 1, Dw: 0.15, Fty_E_eu_0: 0.93, Fty_E_eu_1: 0.86, Fty_E_eu_2: 0.58, Fty_E_eu_4: 0.31, Fty_E_eu_6: 0.23, Fty_E_eu_8: 0.18, Fty_E_eu_10: 0.16}, </v>
      </c>
    </row>
    <row r="122" spans="2:12" x14ac:dyDescent="0.3">
      <c r="B122" t="str">
        <f t="shared" si="1"/>
        <v xml:space="preserve">{Fty_Ftu: 1, </v>
      </c>
      <c r="C122" t="str">
        <f t="shared" ref="B122:J122" si="49">_xlfn.CONCAT(C$75,": ",C50, ", ")</f>
        <v xml:space="preserve">Dw: 0.2, </v>
      </c>
      <c r="D122" t="str">
        <f t="shared" si="49"/>
        <v xml:space="preserve">Fty_E_eu_0: 1, </v>
      </c>
      <c r="E122" t="str">
        <f t="shared" si="49"/>
        <v xml:space="preserve">Fty_E_eu_1: 0.96, </v>
      </c>
      <c r="F122" t="str">
        <f t="shared" si="49"/>
        <v xml:space="preserve">Fty_E_eu_2: 0.71, </v>
      </c>
      <c r="G122" t="str">
        <f t="shared" si="49"/>
        <v xml:space="preserve">Fty_E_eu_4: 0.42, </v>
      </c>
      <c r="H122" t="str">
        <f t="shared" si="49"/>
        <v xml:space="preserve">Fty_E_eu_6: 0.3, </v>
      </c>
      <c r="I122" t="str">
        <f t="shared" si="49"/>
        <v xml:space="preserve">Fty_E_eu_8: 0.23, </v>
      </c>
      <c r="J122" t="str">
        <f t="shared" si="3"/>
        <v xml:space="preserve">Fty_E_eu_10: 0.2}, </v>
      </c>
      <c r="L122" t="str">
        <f t="shared" si="4"/>
        <v xml:space="preserve">{Fty_Ftu: 1, Dw: 0.2, Fty_E_eu_0: 1, Fty_E_eu_1: 0.96, Fty_E_eu_2: 0.71, Fty_E_eu_4: 0.42, Fty_E_eu_6: 0.3, Fty_E_eu_8: 0.23, Fty_E_eu_10: 0.2}, </v>
      </c>
    </row>
    <row r="123" spans="2:12" x14ac:dyDescent="0.3">
      <c r="B123" t="str">
        <f t="shared" si="1"/>
        <v xml:space="preserve">{Fty_Ftu: 1, </v>
      </c>
      <c r="C123" t="str">
        <f t="shared" ref="B123:J123" si="50">_xlfn.CONCAT(C$75,": ",C51, ", ")</f>
        <v xml:space="preserve">Dw: 0.25, </v>
      </c>
      <c r="D123" t="str">
        <f t="shared" si="50"/>
        <v xml:space="preserve">Fty_E_eu_0: 1, </v>
      </c>
      <c r="E123" t="str">
        <f t="shared" si="50"/>
        <v xml:space="preserve">Fty_E_eu_1: 0.98, </v>
      </c>
      <c r="F123" t="str">
        <f t="shared" si="50"/>
        <v xml:space="preserve">Fty_E_eu_2: 0.8, </v>
      </c>
      <c r="G123" t="str">
        <f t="shared" si="50"/>
        <v xml:space="preserve">Fty_E_eu_4: 0.5, </v>
      </c>
      <c r="H123" t="str">
        <f t="shared" si="50"/>
        <v xml:space="preserve">Fty_E_eu_6: 0.36, </v>
      </c>
      <c r="I123" t="str">
        <f t="shared" si="50"/>
        <v xml:space="preserve">Fty_E_eu_8: 0.28, </v>
      </c>
      <c r="J123" t="str">
        <f t="shared" si="3"/>
        <v xml:space="preserve">Fty_E_eu_10: 0.24}, </v>
      </c>
      <c r="L123" t="str">
        <f t="shared" si="4"/>
        <v xml:space="preserve">{Fty_Ftu: 1, Dw: 0.25, Fty_E_eu_0: 1, Fty_E_eu_1: 0.98, Fty_E_eu_2: 0.8, Fty_E_eu_4: 0.5, Fty_E_eu_6: 0.36, Fty_E_eu_8: 0.28, Fty_E_eu_10: 0.24}, </v>
      </c>
    </row>
    <row r="124" spans="2:12" x14ac:dyDescent="0.3">
      <c r="B124" t="str">
        <f t="shared" si="1"/>
        <v xml:space="preserve">{Fty_Ftu: 1, </v>
      </c>
      <c r="C124" t="str">
        <f t="shared" ref="B124:J124" si="51">_xlfn.CONCAT(C$75,": ",C52, ", ")</f>
        <v xml:space="preserve">Dw: 0.3, </v>
      </c>
      <c r="D124" t="str">
        <f t="shared" si="51"/>
        <v xml:space="preserve">Fty_E_eu_0: 1, </v>
      </c>
      <c r="E124" t="str">
        <f t="shared" si="51"/>
        <v xml:space="preserve">Fty_E_eu_1: 0.99, </v>
      </c>
      <c r="F124" t="str">
        <f t="shared" si="51"/>
        <v xml:space="preserve">Fty_E_eu_2: 0.87, </v>
      </c>
      <c r="G124" t="str">
        <f t="shared" si="51"/>
        <v xml:space="preserve">Fty_E_eu_4: 0.6, </v>
      </c>
      <c r="H124" t="str">
        <f t="shared" si="51"/>
        <v xml:space="preserve">Fty_E_eu_6: 0.42, </v>
      </c>
      <c r="I124" t="str">
        <f t="shared" si="51"/>
        <v xml:space="preserve">Fty_E_eu_8: 0.33, </v>
      </c>
      <c r="J124" t="str">
        <f t="shared" si="3"/>
        <v xml:space="preserve">Fty_E_eu_10: 0.28}, </v>
      </c>
      <c r="L124" t="str">
        <f t="shared" si="4"/>
        <v xml:space="preserve">{Fty_Ftu: 1, Dw: 0.3, Fty_E_eu_0: 1, Fty_E_eu_1: 0.99, Fty_E_eu_2: 0.87, Fty_E_eu_4: 0.6, Fty_E_eu_6: 0.42, Fty_E_eu_8: 0.33, Fty_E_eu_10: 0.28}, </v>
      </c>
    </row>
    <row r="125" spans="2:12" x14ac:dyDescent="0.3">
      <c r="B125" t="str">
        <f t="shared" si="1"/>
        <v xml:space="preserve">{Fty_Ftu: 1, </v>
      </c>
      <c r="C125" t="str">
        <f t="shared" ref="B125:J125" si="52">_xlfn.CONCAT(C$75,": ",C53, ", ")</f>
        <v xml:space="preserve">Dw: 0.35, </v>
      </c>
      <c r="D125" t="str">
        <f t="shared" si="52"/>
        <v xml:space="preserve">Fty_E_eu_0: 1, </v>
      </c>
      <c r="E125" t="str">
        <f t="shared" si="52"/>
        <v xml:space="preserve">Fty_E_eu_1: 0.99, </v>
      </c>
      <c r="F125" t="str">
        <f t="shared" si="52"/>
        <v xml:space="preserve">Fty_E_eu_2: 0.93, </v>
      </c>
      <c r="G125" t="str">
        <f t="shared" si="52"/>
        <v xml:space="preserve">Fty_E_eu_4: 0.66, </v>
      </c>
      <c r="H125" t="str">
        <f t="shared" si="52"/>
        <v xml:space="preserve">Fty_E_eu_6: 0.48, </v>
      </c>
      <c r="I125" t="str">
        <f t="shared" si="52"/>
        <v xml:space="preserve">Fty_E_eu_8: 0.37, </v>
      </c>
      <c r="J125" t="str">
        <f t="shared" si="3"/>
        <v xml:space="preserve">Fty_E_eu_10: 0.31}, </v>
      </c>
      <c r="L125" t="str">
        <f t="shared" si="4"/>
        <v xml:space="preserve">{Fty_Ftu: 1, Dw: 0.35, Fty_E_eu_0: 1, Fty_E_eu_1: 0.99, Fty_E_eu_2: 0.93, Fty_E_eu_4: 0.66, Fty_E_eu_6: 0.48, Fty_E_eu_8: 0.37, Fty_E_eu_10: 0.31}, </v>
      </c>
    </row>
    <row r="126" spans="2:12" x14ac:dyDescent="0.3">
      <c r="B126" t="str">
        <f t="shared" si="1"/>
        <v xml:space="preserve">{Fty_Ftu: 1, </v>
      </c>
      <c r="C126" t="str">
        <f t="shared" ref="B126:J126" si="53">_xlfn.CONCAT(C$75,": ",C54, ", ")</f>
        <v xml:space="preserve">Dw: 0.4, </v>
      </c>
      <c r="D126" t="str">
        <f t="shared" si="53"/>
        <v xml:space="preserve">Fty_E_eu_0: 1, </v>
      </c>
      <c r="E126" t="str">
        <f t="shared" si="53"/>
        <v xml:space="preserve">Fty_E_eu_1: 1, </v>
      </c>
      <c r="F126" t="str">
        <f t="shared" si="53"/>
        <v xml:space="preserve">Fty_E_eu_2: 0.96, </v>
      </c>
      <c r="G126" t="str">
        <f t="shared" si="53"/>
        <v xml:space="preserve">Fty_E_eu_4: 0.71, </v>
      </c>
      <c r="H126" t="str">
        <f t="shared" si="53"/>
        <v xml:space="preserve">Fty_E_eu_6: 0.53, </v>
      </c>
      <c r="I126" t="str">
        <f t="shared" si="53"/>
        <v xml:space="preserve">Fty_E_eu_8: 0.41, </v>
      </c>
      <c r="J126" t="str">
        <f t="shared" si="3"/>
        <v xml:space="preserve">Fty_E_eu_10: 0.34}, </v>
      </c>
      <c r="L126" t="str">
        <f t="shared" si="4"/>
        <v xml:space="preserve">{Fty_Ftu: 1, Dw: 0.4, Fty_E_eu_0: 1, Fty_E_eu_1: 1, Fty_E_eu_2: 0.96, Fty_E_eu_4: 0.71, Fty_E_eu_6: 0.53, Fty_E_eu_8: 0.41, Fty_E_eu_10: 0.34}, </v>
      </c>
    </row>
    <row r="127" spans="2:12" x14ac:dyDescent="0.3">
      <c r="B127" t="str">
        <f t="shared" si="1"/>
        <v xml:space="preserve">{Fty_Ftu: 1, </v>
      </c>
      <c r="C127" t="str">
        <f t="shared" ref="B127:J127" si="54">_xlfn.CONCAT(C$75,": ",C55, ", ")</f>
        <v xml:space="preserve">Dw: 0.45, </v>
      </c>
      <c r="D127" t="str">
        <f t="shared" si="54"/>
        <v xml:space="preserve">Fty_E_eu_0: 1, </v>
      </c>
      <c r="E127" t="str">
        <f t="shared" si="54"/>
        <v xml:space="preserve">Fty_E_eu_1: 1, </v>
      </c>
      <c r="F127" t="str">
        <f t="shared" si="54"/>
        <v xml:space="preserve">Fty_E_eu_2: 0.97, </v>
      </c>
      <c r="G127" t="str">
        <f t="shared" si="54"/>
        <v xml:space="preserve">Fty_E_eu_4: 0.75, </v>
      </c>
      <c r="H127" t="str">
        <f t="shared" si="54"/>
        <v xml:space="preserve">Fty_E_eu_6: 0.58, </v>
      </c>
      <c r="I127" t="str">
        <f t="shared" si="54"/>
        <v xml:space="preserve">Fty_E_eu_8: 0.45, </v>
      </c>
      <c r="J127" t="str">
        <f t="shared" si="3"/>
        <v xml:space="preserve">Fty_E_eu_10: 0.37}, </v>
      </c>
      <c r="L127" t="str">
        <f t="shared" si="4"/>
        <v xml:space="preserve">{Fty_Ftu: 1, Dw: 0.45, Fty_E_eu_0: 1, Fty_E_eu_1: 1, Fty_E_eu_2: 0.97, Fty_E_eu_4: 0.75, Fty_E_eu_6: 0.58, Fty_E_eu_8: 0.45, Fty_E_eu_10: 0.37}, </v>
      </c>
    </row>
    <row r="128" spans="2:12" x14ac:dyDescent="0.3">
      <c r="B128" t="str">
        <f t="shared" si="1"/>
        <v xml:space="preserve">{Fty_Ftu: 1, </v>
      </c>
      <c r="C128" t="str">
        <f t="shared" ref="B128:J128" si="55">_xlfn.CONCAT(C$75,": ",C56, ", ")</f>
        <v xml:space="preserve">Dw: 0.5, </v>
      </c>
      <c r="D128" t="str">
        <f t="shared" si="55"/>
        <v xml:space="preserve">Fty_E_eu_0: 1, </v>
      </c>
      <c r="E128" t="str">
        <f t="shared" si="55"/>
        <v xml:space="preserve">Fty_E_eu_1: 1, </v>
      </c>
      <c r="F128" t="str">
        <f t="shared" si="55"/>
        <v xml:space="preserve">Fty_E_eu_2: 0.96, </v>
      </c>
      <c r="G128" t="str">
        <f t="shared" si="55"/>
        <v xml:space="preserve">Fty_E_eu_4: 0.78, </v>
      </c>
      <c r="H128" t="str">
        <f t="shared" si="55"/>
        <v xml:space="preserve">Fty_E_eu_6: 0.62, </v>
      </c>
      <c r="I128" t="str">
        <f t="shared" si="55"/>
        <v xml:space="preserve">Fty_E_eu_8: 0.49, </v>
      </c>
      <c r="J128" t="str">
        <f t="shared" si="3"/>
        <v xml:space="preserve">Fty_E_eu_10: 0.4}, </v>
      </c>
      <c r="L128" t="str">
        <f t="shared" si="4"/>
        <v xml:space="preserve">{Fty_Ftu: 1, Dw: 0.5, Fty_E_eu_0: 1, Fty_E_eu_1: 1, Fty_E_eu_2: 0.96, Fty_E_eu_4: 0.78, Fty_E_eu_6: 0.62, Fty_E_eu_8: 0.49, Fty_E_eu_10: 0.4}, </v>
      </c>
    </row>
    <row r="129" spans="2:12" x14ac:dyDescent="0.3">
      <c r="B129" t="str">
        <f t="shared" si="1"/>
        <v xml:space="preserve">{Fty_Ftu: 1, </v>
      </c>
      <c r="C129" t="str">
        <f t="shared" ref="B129:J129" si="56">_xlfn.CONCAT(C$75,": ",C57, ", ")</f>
        <v xml:space="preserve">Dw: 0.55, </v>
      </c>
      <c r="D129" t="str">
        <f t="shared" si="56"/>
        <v xml:space="preserve">Fty_E_eu_0: 1, </v>
      </c>
      <c r="E129" t="str">
        <f t="shared" si="56"/>
        <v xml:space="preserve">Fty_E_eu_1: 1, </v>
      </c>
      <c r="F129" t="str">
        <f t="shared" si="56"/>
        <v xml:space="preserve">Fty_E_eu_2: 0.96, </v>
      </c>
      <c r="G129" t="str">
        <f t="shared" si="56"/>
        <v xml:space="preserve">Fty_E_eu_4: 0.8, </v>
      </c>
      <c r="H129" t="str">
        <f t="shared" si="56"/>
        <v xml:space="preserve">Fty_E_eu_6: 0.66, </v>
      </c>
      <c r="I129" t="str">
        <f t="shared" si="56"/>
        <v xml:space="preserve">Fty_E_eu_8: 0.53, </v>
      </c>
      <c r="J129" t="str">
        <f t="shared" si="3"/>
        <v xml:space="preserve">Fty_E_eu_10: 0.43}, </v>
      </c>
      <c r="L129" t="str">
        <f t="shared" si="4"/>
        <v xml:space="preserve">{Fty_Ftu: 1, Dw: 0.55, Fty_E_eu_0: 1, Fty_E_eu_1: 1, Fty_E_eu_2: 0.96, Fty_E_eu_4: 0.8, Fty_E_eu_6: 0.66, Fty_E_eu_8: 0.53, Fty_E_eu_10: 0.43}, </v>
      </c>
    </row>
    <row r="130" spans="2:12" x14ac:dyDescent="0.3">
      <c r="B130" t="str">
        <f t="shared" si="1"/>
        <v xml:space="preserve">{Fty_Ftu: 1, </v>
      </c>
      <c r="C130" t="str">
        <f t="shared" ref="B130:J130" si="57">_xlfn.CONCAT(C$75,": ",C58, ", ")</f>
        <v xml:space="preserve">Dw: 0.6, </v>
      </c>
      <c r="D130" t="str">
        <f t="shared" si="57"/>
        <v xml:space="preserve">Fty_E_eu_0: 1, </v>
      </c>
      <c r="E130" t="str">
        <f t="shared" si="57"/>
        <v xml:space="preserve">Fty_E_eu_1: 1, </v>
      </c>
      <c r="F130" t="str">
        <f t="shared" si="57"/>
        <v xml:space="preserve">Fty_E_eu_2: 0.96, </v>
      </c>
      <c r="G130" t="str">
        <f t="shared" si="57"/>
        <v xml:space="preserve">Fty_E_eu_4: 0.83, </v>
      </c>
      <c r="H130" t="str">
        <f t="shared" si="57"/>
        <v xml:space="preserve">Fty_E_eu_6: 0.69, </v>
      </c>
      <c r="I130" t="str">
        <f t="shared" si="57"/>
        <v xml:space="preserve">Fty_E_eu_8: 0.56, </v>
      </c>
      <c r="J130" t="str">
        <f t="shared" si="3"/>
        <v xml:space="preserve">Fty_E_eu_10: 0.46}, </v>
      </c>
      <c r="L130" t="str">
        <f t="shared" si="4"/>
        <v xml:space="preserve">{Fty_Ftu: 1, Dw: 0.6, Fty_E_eu_0: 1, Fty_E_eu_1: 1, Fty_E_eu_2: 0.96, Fty_E_eu_4: 0.83, Fty_E_eu_6: 0.69, Fty_E_eu_8: 0.56, Fty_E_eu_10: 0.46}, </v>
      </c>
    </row>
    <row r="131" spans="2:12" x14ac:dyDescent="0.3">
      <c r="B131" t="str">
        <f t="shared" si="1"/>
        <v xml:space="preserve">{Fty_Ftu: 1, </v>
      </c>
      <c r="C131" t="str">
        <f t="shared" ref="B131:J131" si="58">_xlfn.CONCAT(C$75,": ",C59, ", ")</f>
        <v xml:space="preserve">Dw: 0.65, </v>
      </c>
      <c r="D131" t="str">
        <f t="shared" si="58"/>
        <v xml:space="preserve">Fty_E_eu_0: 1, </v>
      </c>
      <c r="E131" t="str">
        <f t="shared" si="58"/>
        <v xml:space="preserve">Fty_E_eu_1: 1, </v>
      </c>
      <c r="F131" t="str">
        <f t="shared" si="58"/>
        <v xml:space="preserve">Fty_E_eu_2: 0.96, </v>
      </c>
      <c r="G131" t="str">
        <f t="shared" si="58"/>
        <v xml:space="preserve">Fty_E_eu_4: 0.87, </v>
      </c>
      <c r="H131" t="str">
        <f t="shared" si="58"/>
        <v xml:space="preserve">Fty_E_eu_6: 0.73, </v>
      </c>
      <c r="I131" t="str">
        <f t="shared" si="58"/>
        <v xml:space="preserve">Fty_E_eu_8: 0.6, </v>
      </c>
      <c r="J131" t="str">
        <f t="shared" si="3"/>
        <v xml:space="preserve">Fty_E_eu_10: 0.5}, </v>
      </c>
      <c r="L131" t="str">
        <f t="shared" si="4"/>
        <v xml:space="preserve">{Fty_Ftu: 1, Dw: 0.65, Fty_E_eu_0: 1, Fty_E_eu_1: 1, Fty_E_eu_2: 0.96, Fty_E_eu_4: 0.87, Fty_E_eu_6: 0.73, Fty_E_eu_8: 0.6, Fty_E_eu_10: 0.5}, </v>
      </c>
    </row>
    <row r="132" spans="2:12" x14ac:dyDescent="0.3">
      <c r="B132" t="str">
        <f t="shared" si="1"/>
        <v xml:space="preserve">{Fty_Ftu: 1, </v>
      </c>
      <c r="C132" t="str">
        <f t="shared" ref="B132:J132" si="59">_xlfn.CONCAT(C$75,": ",C60, ", ")</f>
        <v xml:space="preserve">Dw: 0.7, </v>
      </c>
      <c r="D132" t="str">
        <f t="shared" si="59"/>
        <v xml:space="preserve">Fty_E_eu_0: 1, </v>
      </c>
      <c r="E132" t="str">
        <f t="shared" si="59"/>
        <v xml:space="preserve">Fty_E_eu_1: 1, </v>
      </c>
      <c r="F132" t="str">
        <f t="shared" si="59"/>
        <v xml:space="preserve">Fty_E_eu_2: 0.97, </v>
      </c>
      <c r="G132" t="str">
        <f t="shared" si="59"/>
        <v xml:space="preserve">Fty_E_eu_4: 0.9, </v>
      </c>
      <c r="H132" t="str">
        <f t="shared" si="59"/>
        <v xml:space="preserve">Fty_E_eu_6: 0.78, </v>
      </c>
      <c r="I132" t="str">
        <f t="shared" si="59"/>
        <v xml:space="preserve">Fty_E_eu_8: 0.64, </v>
      </c>
      <c r="J132" t="str">
        <f t="shared" si="3"/>
        <v xml:space="preserve">Fty_E_eu_10: 0.53}, </v>
      </c>
      <c r="L132" t="str">
        <f t="shared" si="4"/>
        <v xml:space="preserve">{Fty_Ftu: 1, Dw: 0.7, Fty_E_eu_0: 1, Fty_E_eu_1: 1, Fty_E_eu_2: 0.97, Fty_E_eu_4: 0.9, Fty_E_eu_6: 0.78, Fty_E_eu_8: 0.64, Fty_E_eu_10: 0.53}, </v>
      </c>
    </row>
    <row r="133" spans="2:12" x14ac:dyDescent="0.3">
      <c r="B133" t="str">
        <f t="shared" si="1"/>
        <v xml:space="preserve">{Fty_Ftu: 1, </v>
      </c>
      <c r="C133" t="str">
        <f t="shared" ref="B133:J133" si="60">_xlfn.CONCAT(C$75,": ",C61, ", ")</f>
        <v xml:space="preserve">Dw: 0.75, </v>
      </c>
      <c r="D133" t="str">
        <f t="shared" si="60"/>
        <v xml:space="preserve">Fty_E_eu_0: 1, </v>
      </c>
      <c r="E133" t="str">
        <f t="shared" si="60"/>
        <v xml:space="preserve">Fty_E_eu_1: 1, </v>
      </c>
      <c r="F133" t="str">
        <f t="shared" si="60"/>
        <v xml:space="preserve">Fty_E_eu_2: 0.99, </v>
      </c>
      <c r="G133" t="str">
        <f t="shared" si="60"/>
        <v xml:space="preserve">Fty_E_eu_4: 0.93, </v>
      </c>
      <c r="H133" t="str">
        <f t="shared" si="60"/>
        <v xml:space="preserve">Fty_E_eu_6: 0.84, </v>
      </c>
      <c r="I133" t="str">
        <f t="shared" si="60"/>
        <v xml:space="preserve">Fty_E_eu_8: 0.7, </v>
      </c>
      <c r="J133" t="str">
        <f t="shared" si="3"/>
        <v xml:space="preserve">Fty_E_eu_10: 0.57}, </v>
      </c>
      <c r="L133" t="str">
        <f t="shared" si="4"/>
        <v xml:space="preserve">{Fty_Ftu: 1, Dw: 0.75, Fty_E_eu_0: 1, Fty_E_eu_1: 1, Fty_E_eu_2: 0.99, Fty_E_eu_4: 0.93, Fty_E_eu_6: 0.84, Fty_E_eu_8: 0.7, Fty_E_eu_10: 0.57}, </v>
      </c>
    </row>
    <row r="134" spans="2:12" x14ac:dyDescent="0.3">
      <c r="B134" t="str">
        <f t="shared" si="1"/>
        <v xml:space="preserve">{Fty_Ftu: 1, </v>
      </c>
      <c r="C134" t="str">
        <f t="shared" ref="B134:J134" si="61">_xlfn.CONCAT(C$75,": ",C62, ", ")</f>
        <v xml:space="preserve">Dw: 0.8, </v>
      </c>
      <c r="D134" t="str">
        <f t="shared" si="61"/>
        <v xml:space="preserve">Fty_E_eu_0: 1, </v>
      </c>
      <c r="E134" t="str">
        <f t="shared" si="61"/>
        <v xml:space="preserve">Fty_E_eu_1: 1, </v>
      </c>
      <c r="F134" t="str">
        <f t="shared" si="61"/>
        <v xml:space="preserve">Fty_E_eu_2: 1, </v>
      </c>
      <c r="G134" t="str">
        <f t="shared" si="61"/>
        <v xml:space="preserve">Fty_E_eu_4: 0.97, </v>
      </c>
      <c r="H134" t="str">
        <f t="shared" si="61"/>
        <v xml:space="preserve">Fty_E_eu_6: 0.91, </v>
      </c>
      <c r="I134" t="str">
        <f t="shared" si="61"/>
        <v xml:space="preserve">Fty_E_eu_8: 0.76, </v>
      </c>
      <c r="J134" t="str">
        <f t="shared" si="3"/>
        <v xml:space="preserve">Fty_E_eu_10: 0.63}, </v>
      </c>
      <c r="L134" t="str">
        <f t="shared" si="4"/>
        <v xml:space="preserve">{Fty_Ftu: 1, Dw: 0.8, Fty_E_eu_0: 1, Fty_E_eu_1: 1, Fty_E_eu_2: 1, Fty_E_eu_4: 0.97, Fty_E_eu_6: 0.91, Fty_E_eu_8: 0.76, Fty_E_eu_10: 0.63}, </v>
      </c>
    </row>
    <row r="135" spans="2:12" x14ac:dyDescent="0.3">
      <c r="B135" t="str">
        <f t="shared" si="1"/>
        <v xml:space="preserve">{Fty_Ftu: 1, </v>
      </c>
      <c r="C135" t="str">
        <f t="shared" ref="B135:J135" si="62">_xlfn.CONCAT(C$75,": ",C63, ", ")</f>
        <v xml:space="preserve">Dw: 0.85, </v>
      </c>
      <c r="D135" t="str">
        <f t="shared" si="62"/>
        <v xml:space="preserve">Fty_E_eu_0: 1, </v>
      </c>
      <c r="E135" t="str">
        <f t="shared" si="62"/>
        <v xml:space="preserve">Fty_E_eu_1: 1, </v>
      </c>
      <c r="F135" t="str">
        <f t="shared" si="62"/>
        <v xml:space="preserve">Fty_E_eu_2: 0.99, </v>
      </c>
      <c r="G135" t="str">
        <f t="shared" si="62"/>
        <v xml:space="preserve">Fty_E_eu_4: 0.99, </v>
      </c>
      <c r="H135" t="str">
        <f t="shared" si="62"/>
        <v xml:space="preserve">Fty_E_eu_6: 0.94, </v>
      </c>
      <c r="I135" t="str">
        <f t="shared" si="62"/>
        <v xml:space="preserve">Fty_E_eu_8: 0.81, </v>
      </c>
      <c r="J135" t="str">
        <f t="shared" si="3"/>
        <v xml:space="preserve">Fty_E_eu_10: 0.69}, </v>
      </c>
      <c r="L135" t="str">
        <f t="shared" si="4"/>
        <v xml:space="preserve">{Fty_Ftu: 1, Dw: 0.85, Fty_E_eu_0: 1, Fty_E_eu_1: 1, Fty_E_eu_2: 0.99, Fty_E_eu_4: 0.99, Fty_E_eu_6: 0.94, Fty_E_eu_8: 0.81, Fty_E_eu_10: 0.69}, </v>
      </c>
    </row>
    <row r="136" spans="2:12" x14ac:dyDescent="0.3">
      <c r="B136" t="str">
        <f t="shared" si="1"/>
        <v xml:space="preserve">{Fty_Ftu: 1, </v>
      </c>
      <c r="C136" t="str">
        <f t="shared" ref="B136:J136" si="63">_xlfn.CONCAT(C$75,": ",C64, ", ")</f>
        <v xml:space="preserve">Dw: 0.9, </v>
      </c>
      <c r="D136" t="str">
        <f t="shared" si="63"/>
        <v xml:space="preserve">Fty_E_eu_0: 1, </v>
      </c>
      <c r="E136" t="str">
        <f t="shared" si="63"/>
        <v xml:space="preserve">Fty_E_eu_1: 1, </v>
      </c>
      <c r="F136" t="str">
        <f t="shared" si="63"/>
        <v xml:space="preserve">Fty_E_eu_2: 1, </v>
      </c>
      <c r="G136" t="str">
        <f t="shared" si="63"/>
        <v xml:space="preserve">Fty_E_eu_4: 1, </v>
      </c>
      <c r="H136" t="str">
        <f t="shared" si="63"/>
        <v xml:space="preserve">Fty_E_eu_6: 0.97, </v>
      </c>
      <c r="I136" t="str">
        <f t="shared" si="63"/>
        <v xml:space="preserve">Fty_E_eu_8: 0.86, </v>
      </c>
      <c r="J136" t="str">
        <f t="shared" si="3"/>
        <v xml:space="preserve">Fty_E_eu_10: 0.78}, </v>
      </c>
      <c r="L136" t="str">
        <f t="shared" si="4"/>
        <v xml:space="preserve">{Fty_Ftu: 1, Dw: 0.9, Fty_E_eu_0: 1, Fty_E_eu_1: 1, Fty_E_eu_2: 1, Fty_E_eu_4: 1, Fty_E_eu_6: 0.97, Fty_E_eu_8: 0.86, Fty_E_eu_10: 0.78}, </v>
      </c>
    </row>
    <row r="137" spans="2:12" x14ac:dyDescent="0.3">
      <c r="B137" t="str">
        <f t="shared" si="1"/>
        <v xml:space="preserve">{Fty_Ftu: 1, </v>
      </c>
      <c r="C137" t="str">
        <f t="shared" ref="B137:J137" si="64">_xlfn.CONCAT(C$75,": ",C65, ", ")</f>
        <v xml:space="preserve">Dw: 0.95, </v>
      </c>
      <c r="D137" t="str">
        <f t="shared" si="64"/>
        <v xml:space="preserve">Fty_E_eu_0: 1, </v>
      </c>
      <c r="E137" t="str">
        <f t="shared" si="64"/>
        <v xml:space="preserve">Fty_E_eu_1: 1, </v>
      </c>
      <c r="F137" t="str">
        <f t="shared" si="64"/>
        <v xml:space="preserve">Fty_E_eu_2: 1, </v>
      </c>
      <c r="G137" t="str">
        <f t="shared" si="64"/>
        <v xml:space="preserve">Fty_E_eu_4: 1, </v>
      </c>
      <c r="H137" t="str">
        <f t="shared" si="64"/>
        <v xml:space="preserve">Fty_E_eu_6: 0.99, </v>
      </c>
      <c r="I137" t="str">
        <f t="shared" si="64"/>
        <v xml:space="preserve">Fty_E_eu_8: 0.92, </v>
      </c>
      <c r="J137" t="str">
        <f t="shared" si="3"/>
        <v xml:space="preserve">Fty_E_eu_10: 0.87}, </v>
      </c>
      <c r="L137" t="str">
        <f t="shared" si="4"/>
        <v xml:space="preserve">{Fty_Ftu: 1, Dw: 0.95, Fty_E_eu_0: 1, Fty_E_eu_1: 1, Fty_E_eu_2: 1, Fty_E_eu_4: 1, Fty_E_eu_6: 0.99, Fty_E_eu_8: 0.92, Fty_E_eu_10: 0.87}, </v>
      </c>
    </row>
    <row r="138" spans="2:12" x14ac:dyDescent="0.3">
      <c r="B138" t="str">
        <f t="shared" si="1"/>
        <v xml:space="preserve">{Fty_Ftu: 1, </v>
      </c>
      <c r="C138" t="str">
        <f t="shared" ref="B138:J138" si="65">_xlfn.CONCAT(C$75,": ",C66, ", ")</f>
        <v xml:space="preserve">Dw: 1, </v>
      </c>
      <c r="D138" t="str">
        <f t="shared" si="65"/>
        <v xml:space="preserve">Fty_E_eu_0: 1, </v>
      </c>
      <c r="E138" t="str">
        <f t="shared" si="65"/>
        <v xml:space="preserve">Fty_E_eu_1: 1, </v>
      </c>
      <c r="F138" t="str">
        <f t="shared" si="65"/>
        <v xml:space="preserve">Fty_E_eu_2: 1, </v>
      </c>
      <c r="G138" t="str">
        <f t="shared" si="65"/>
        <v xml:space="preserve">Fty_E_eu_4: 1, </v>
      </c>
      <c r="H138" t="str">
        <f t="shared" si="65"/>
        <v xml:space="preserve">Fty_E_eu_6: 1, </v>
      </c>
      <c r="I138" t="str">
        <f t="shared" si="65"/>
        <v xml:space="preserve">Fty_E_eu_8: 1, </v>
      </c>
      <c r="J138" t="str">
        <f>_xlfn.CONCAT(J$75,": ",J66, "} ")</f>
        <v xml:space="preserve">Fty_E_eu_10: 1} </v>
      </c>
      <c r="L138" t="str">
        <f t="shared" si="4"/>
        <v xml:space="preserve">{Fty_Ftu: 1, Dw: 1, Fty_E_eu_0: 1, Fty_E_eu_1: 1, Fty_E_eu_2: 1, Fty_E_eu_4: 1, Fty_E_eu_6: 1, Fty_E_eu_8: 1, Fty_E_eu_10: 1} </v>
      </c>
    </row>
    <row r="141" spans="2:12" x14ac:dyDescent="0.3">
      <c r="L141" t="str">
        <f>_xlfn.CONCAT("[",L76:L138,"]")</f>
        <v>[{Fty_Ftu: 0.6, Dw: 0, Fty_E_eu_0: 0, Fty_E_eu_1: 0, Fty_E_eu_2: 0, Fty_E_eu_4: 0, Fty_E_eu_6: 0, Fty_E_eu_8: 0, Fty_E_eu_10: 0}, {Fty_Ftu: 0.6, Dw: 0.05, Fty_E_eu_0: 0.33, Fty_E_eu_1: 0.33, Fty_E_eu_2: 0.26, Fty_E_eu_4: 0.15, Fty_E_eu_6: 0.09, Fty_E_eu_8: 0.07, Fty_E_eu_10: 0.06}, {Fty_Ftu: 0.6, Dw: 0.1, Fty_E_eu_0: 0.5, Fty_E_eu_1: 0.49, Fty_E_eu_2: 0.41, Fty_E_eu_4: 0.24, Fty_E_eu_6: 0.16, Fty_E_eu_8: 0.12, Fty_E_eu_10: 0.1}, {Fty_Ftu: 0.6, Dw: 0.15, Fty_E_eu_0: 0.61, Fty_E_eu_1: 0.58, Fty_E_eu_2: 0.52, Fty_E_eu_4: 0.32, Fty_E_eu_6: 0.22, Fty_E_eu_8: 0.18, Fty_E_eu_10: 0.15}, {Fty_Ftu: 0.6, Dw: 0.2, Fty_E_eu_0: 0.67, Fty_E_eu_1: 0.65, Fty_E_eu_2: 0.59, Fty_E_eu_4: 0.4, Fty_E_eu_6: 0.3, Fty_E_eu_8: 0.24, Fty_E_eu_10: 0.19}, {Fty_Ftu: 0.6, Dw: 0.25, Fty_E_eu_0: 0.7, Fty_E_eu_1: 0.68, Fty_E_eu_2: 0.63, Fty_E_eu_4: 0.47, Fty_E_eu_6: 0.36, Fty_E_eu_8: 0.29, Fty_E_eu_10: 0.24}, {Fty_Ftu: 0.6, Dw: 0.3, Fty_E_eu_0: 0.71, Fty_E_eu_1: 0.69, Fty_E_eu_2: 0.66, Fty_E_eu_4: 0.53, Fty_E_eu_6: 0.41, Fty_E_eu_8: 0.33, Fty_E_eu_10: 0.27}, {Fty_Ftu: 0.6, Dw: 0.35, Fty_E_eu_0: 0.72, Fty_E_eu_1: 0.7, Fty_E_eu_2: 0.68, Fty_E_eu_4: 0.57, Fty_E_eu_6: 0.45, Fty_E_eu_8: 0.37, Fty_E_eu_10: 0.31}, {Fty_Ftu: 0.6, Dw: 0.4, Fty_E_eu_0: 0.73, Fty_E_eu_1: 0.71, Fty_E_eu_2: 0.69, Fty_E_eu_4: 0.61, Fty_E_eu_6: 0.49, Fty_E_eu_8: 0.4, Fty_E_eu_10: 0.34}, {Fty_Ftu: 0.6, Dw: 0.45, Fty_E_eu_0: 0.74, Fty_E_eu_1: 0.72, Fty_E_eu_2: 0.7, Fty_E_eu_4: 0.63, Fty_E_eu_6: 0.53, Fty_E_eu_8: 0.43, Fty_E_eu_10: 0.36}, {Fty_Ftu: 0.6, Dw: 0.5, Fty_E_eu_0: 0.76, Fty_E_eu_1: 0.74, Fty_E_eu_2: 0.72, Fty_E_eu_4: 0.64, Fty_E_eu_6: 0.56, Fty_E_eu_8: 0.46, Fty_E_eu_10: 0.4}, {Fty_Ftu: 0.6, Dw: 0.55, Fty_E_eu_0: 0.77, Fty_E_eu_1: 0.76, Fty_E_eu_2: 0.73, Fty_E_eu_4: 0.66, Fty_E_eu_6: 0.59, Fty_E_eu_8: 0.5, Fty_E_eu_10: 0.43}, {Fty_Ftu: 0.6, Dw: 0.6, Fty_E_eu_0: 0.78, Fty_E_eu_1: 0.77, Fty_E_eu_2: 0.74, Fty_E_eu_4: 0.68, Fty_E_eu_6: 0.62, Fty_E_eu_8: 0.53, Fty_E_eu_10: 0.45}, {Fty_Ftu: 0.6, Dw: 0.65, Fty_E_eu_0: 0.8, Fty_E_eu_1: 0.79, Fty_E_eu_2: 0.77, Fty_E_eu_4: 0.7, Fty_E_eu_6: 0.64, Fty_E_eu_8: 0.57, Fty_E_eu_10: 0.49}, {Fty_Ftu: 0.6, Dw: 0.7, Fty_E_eu_0: 0.82, Fty_E_eu_1: 0.81, Fty_E_eu_2: 0.78, Fty_E_eu_4: 0.73, Fty_E_eu_6: 0.68, Fty_E_eu_8: 0.61, Fty_E_eu_10: 0.53}, {Fty_Ftu: 0.6, Dw: 0.75, Fty_E_eu_0: 0.84, Fty_E_eu_1: 0.82, Fty_E_eu_2: 0.81, Fty_E_eu_4: 0.77, Fty_E_eu_6: 0.72, Fty_E_eu_8: 0.66, Fty_E_eu_10: 0.58}, {Fty_Ftu: 0.6, Dw: 0.8, Fty_E_eu_0: 0.86, Fty_E_eu_1: 0.84, Fty_E_eu_2: 0.84, Fty_E_eu_4: 0.8, Fty_E_eu_6: 0.76, Fty_E_eu_8: 0.71, Fty_E_eu_10: 0.64}, {Fty_Ftu: 0.6, Dw: 0.85, Fty_E_eu_0: 0.88, Fty_E_eu_1: 0.87, Fty_E_eu_2: 0.87, Fty_E_eu_4: 0.84, Fty_E_eu_6: 0.81, Fty_E_eu_8: 0.77, Fty_E_eu_10: 0.71}, {Fty_Ftu: 0.6, Dw: 0.9, Fty_E_eu_0: 0.91, Fty_E_eu_1: 0.9, Fty_E_eu_2: 0.9, Fty_E_eu_4: 0.88, Fty_E_eu_6: 0.86, Fty_E_eu_8: 0.83, Fty_E_eu_10: 0.79}, {Fty_Ftu: 0.6, Dw: 0.95, Fty_E_eu_0: 0.95, Fty_E_eu_1: 0.95, Fty_E_eu_2: 0.95, Fty_E_eu_4: 0.94, Fty_E_eu_6: 0.94, Fty_E_eu_8: 0.92, Fty_E_eu_10: 0.89}, {Fty_Ftu: 0.6, Dw: 1, Fty_E_eu_0: 1, Fty_E_eu_1: 1, Fty_E_eu_2: 1, Fty_E_eu_4: 1, Fty_E_eu_6: 1, Fty_E_eu_8: 1, Fty_E_eu_10: 1}, {Fty_Ftu: 0.8, Dw: 0, Fty_E_eu_0: 0, Fty_E_eu_1: 0, Fty_E_eu_2: 0, Fty_E_eu_4: 0, Fty_E_eu_6: 0, Fty_E_eu_8: 0, Fty_E_eu_10: 0}, {Fty_Ftu: 0.8, Dw: 0.05, Fty_E_eu_0: 0.4, Fty_E_eu_1: 0.38, Fty_E_eu_2: 0.24, Fty_E_eu_4: 0.14, Fty_E_eu_6: 0.08, Fty_E_eu_8: 0.07, Fty_E_eu_10: 0.05}, {Fty_Ftu: 0.8, Dw: 0.1, Fty_E_eu_0: 0.66, Fty_E_eu_1: 0.59, Fty_E_eu_2: 0.42, Fty_E_eu_4: 0.25, Fty_E_eu_6: 0.15, Fty_E_eu_8: 0.12, Fty_E_eu_10: 0.1}, {Fty_Ftu: 0.8, Dw: 0.15, Fty_E_eu_0: 0.79, Fty_E_eu_1: 0.73, Fty_E_eu_2: 0.56, Fty_E_eu_4: 0.35, Fty_E_eu_6: 0.22, Fty_E_eu_8: 0.18, Fty_E_eu_10: 0.15}, {Fty_Ftu: 0.8, Dw: 0.2, Fty_E_eu_0: 0.83, Fty_E_eu_1: 0.81, Fty_E_eu_2: 0.67, Fty_E_eu_4: 0.43, Fty_E_eu_6: 0.29, Fty_E_eu_8: 0.23, Fty_E_eu_10: 0.19}, {Fty_Ftu: 0.8, Dw: 0.25, Fty_E_eu_0: 0.84, Fty_E_eu_1: 0.83, Fty_E_eu_2: 0.74, Fty_E_eu_4: 0.5, Fty_E_eu_6: 0.36, Fty_E_eu_8: 0.28, Fty_E_eu_10: 0.24}, {Fty_Ftu: 0.8, Dw: 0.3, Fty_E_eu_0: 0.85, Fty_E_eu_1: 0.84, Fty_E_eu_2: 0.77, Fty_E_eu_4: 0.56, Fty_E_eu_6: 0.42, Fty_E_eu_8: 0.33, Fty_E_eu_10: 0.28}, {Fty_Ftu: 0.8, Dw: 0.35, Fty_E_eu_0: 0.85, Fty_E_eu_1: 0.85, Fty_E_eu_2: 0.8, Fty_E_eu_4: 0.62, Fty_E_eu_6: 0.48, Fty_E_eu_8: 0.37, Fty_E_eu_10: 0.31}, {Fty_Ftu: 0.8, Dw: 0.4, Fty_E_eu_0: 0.86, Fty_E_eu_1: 0.86, Fty_E_eu_2: 0.81, Fty_E_eu_4: 0.66, Fty_E_eu_6: 0.52, Fty_E_eu_8: 0.41, Fty_E_eu_10: 0.34}, {Fty_Ftu: 0.8, Dw: 0.45, Fty_E_eu_0: 0.86, Fty_E_eu_1: 0.86, Fty_E_eu_2: 0.83, Fty_E_eu_4: 0.69, Fty_E_eu_6: 0.56, Fty_E_eu_8: 0.44, Fty_E_eu_10: 0.37}, {Fty_Ftu: 0.8, Dw: 0.5, Fty_E_eu_0: 0.87, Fty_E_eu_1: 0.87, Fty_E_eu_2: 0.84, Fty_E_eu_4: 0.72, Fty_E_eu_6: 0.59, Fty_E_eu_8: 0.47, Fty_E_eu_10: 0.4}, {Fty_Ftu: 0.8, Dw: 0.55, Fty_E_eu_0: 0.88, Fty_E_eu_1: 0.88, Fty_E_eu_2: 0.84, Fty_E_eu_4: 0.74, Fty_E_eu_6: 0.62, Fty_E_eu_8: 0.51, Fty_E_eu_10: 0.44}, {Fty_Ftu: 0.8, Dw: 0.6, Fty_E_eu_0: 0.89, Fty_E_eu_1: 0.89, Fty_E_eu_2: 0.85, Fty_E_eu_4: 0.76, Fty_E_eu_6: 0.65, Fty_E_eu_8: 0.55, Fty_E_eu_10: 0.47}, {Fty_Ftu: 0.8, Dw: 0.65, Fty_E_eu_0: 0.9, Fty_E_eu_1: 0.9, Fty_E_eu_2: 0.86, Fty_E_eu_4: 0.79, Fty_E_eu_6: 0.68, Fty_E_eu_8: 0.58, Fty_E_eu_10: 0.5}, {Fty_Ftu: 0.8, Dw: 0.7, Fty_E_eu_0: 0.9, Fty_E_eu_1: 0.9, Fty_E_eu_2: 0.87, Fty_E_eu_4: 0.82, Fty_E_eu_6: 0.72, Fty_E_eu_8: 0.63, Fty_E_eu_10: 0.53}, {Fty_Ftu: 0.8, Dw: 0.75, Fty_E_eu_0: 0.91, Fty_E_eu_1: 0.91, Fty_E_eu_2: 0.89, Fty_E_eu_4: 0.84, Fty_E_eu_6: 0.77, Fty_E_eu_8: 0.69, Fty_E_eu_10: 0.58}, {Fty_Ftu: 0.8, Dw: 0.8, Fty_E_eu_0: 0.92, Fty_E_eu_1: 0.92, Fty_E_eu_2: 0.92, Fty_E_eu_4: 0.88, Fty_E_eu_6: 0.83, Fty_E_eu_8: 0.74, Fty_E_eu_10: 0.64}, {Fty_Ftu: 0.8, Dw: 0.85, Fty_E_eu_0: 0.94, Fty_E_eu_1: 0.94, Fty_E_eu_2: 0.94, Fty_E_eu_4: 0.91, Fty_E_eu_6: 0.87, Fty_E_eu_8: 0.79, Fty_E_eu_10: 0.71}, {Fty_Ftu: 0.8, Dw: 0.9, Fty_E_eu_0: 0.96, Fty_E_eu_1: 0.96, Fty_E_eu_2: 0.96, Fty_E_eu_4: 0.94, Fty_E_eu_6: 0.91, Fty_E_eu_8: 0.85, Fty_E_eu_10: 0.79}, {Fty_Ftu: 0.8, Dw: 0.95, Fty_E_eu_0: 0.97, Fty_E_eu_1: 0.97, Fty_E_eu_2: 0.97, Fty_E_eu_4: 0.97, Fty_E_eu_6: 0.95, Fty_E_eu_8: 0.92, Fty_E_eu_10: 0.88}, {Fty_Ftu: 0.8, Dw: 1, Fty_E_eu_0: 1, Fty_E_eu_1: 1, Fty_E_eu_2: 1, Fty_E_eu_4: 1, Fty_E_eu_6: 1, Fty_E_eu_8: 1, Fty_E_eu_10: 1}, {Fty_Ftu: 1, Dw: 0, Fty_E_eu_0: 0, Fty_E_eu_1: 0, Fty_E_eu_2: 0, Fty_E_eu_4: 0, Fty_E_eu_6: 0, Fty_E_eu_8: 0, Fty_E_eu_10: 0}, {Fty_Ftu: 1, Dw: 0.05, Fty_E_eu_0: 0.54, Fty_E_eu_1: 0.44, Fty_E_eu_2: 0.26, Fty_E_eu_4: 0.13, Fty_E_eu_6: 0.09, Fty_E_eu_8: 0.07, Fty_E_eu_10: 0.06}, {Fty_Ftu: 1, Dw: 0.1, Fty_E_eu_0: 0.78, Fty_E_eu_1: 0.69, Fty_E_eu_2: 0.44, Fty_E_eu_4: 0.22, Fty_E_eu_6: 0.16, Fty_E_eu_8: 0.13, Fty_E_eu_10: 0.12}, {Fty_Ftu: 1, Dw: 0.15, Fty_E_eu_0: 0.93, Fty_E_eu_1: 0.86, Fty_E_eu_2: 0.58, Fty_E_eu_4: 0.31, Fty_E_eu_6: 0.23, Fty_E_eu_8: 0.18, Fty_E_eu_10: 0.16}, {Fty_Ftu: 1, Dw: 0.2, Fty_E_eu_0: 1, Fty_E_eu_1: 0.96, Fty_E_eu_2: 0.71, Fty_E_eu_4: 0.42, Fty_E_eu_6: 0.3, Fty_E_eu_8: 0.23, Fty_E_eu_10: 0.2}, {Fty_Ftu: 1, Dw: 0.25, Fty_E_eu_0: 1, Fty_E_eu_1: 0.98, Fty_E_eu_2: 0.8, Fty_E_eu_4: 0.5, Fty_E_eu_6: 0.36, Fty_E_eu_8: 0.28, Fty_E_eu_10: 0.24}, {Fty_Ftu: 1, Dw: 0.3, Fty_E_eu_0: 1, Fty_E_eu_1: 0.99, Fty_E_eu_2: 0.87, Fty_E_eu_4: 0.6, Fty_E_eu_6: 0.42, Fty_E_eu_8: 0.33, Fty_E_eu_10: 0.28}, {Fty_Ftu: 1, Dw: 0.35, Fty_E_eu_0: 1, Fty_E_eu_1: 0.99, Fty_E_eu_2: 0.93, Fty_E_eu_4: 0.66, Fty_E_eu_6: 0.48, Fty_E_eu_8: 0.37, Fty_E_eu_10: 0.31}, {Fty_Ftu: 1, Dw: 0.4, Fty_E_eu_0: 1, Fty_E_eu_1: 1, Fty_E_eu_2: 0.96, Fty_E_eu_4: 0.71, Fty_E_eu_6: 0.53, Fty_E_eu_8: 0.41, Fty_E_eu_10: 0.34}, {Fty_Ftu: 1, Dw: 0.45, Fty_E_eu_0: 1, Fty_E_eu_1: 1, Fty_E_eu_2: 0.97, Fty_E_eu_4: 0.75, Fty_E_eu_6: 0.58, Fty_E_eu_8: 0.45, Fty_E_eu_10: 0.37}, {Fty_Ftu: 1, Dw: 0.5, Fty_E_eu_0: 1, Fty_E_eu_1: 1, Fty_E_eu_2: 0.96, Fty_E_eu_4: 0.78, Fty_E_eu_6: 0.62, Fty_E_eu_8: 0.49, Fty_E_eu_10: 0.4}, {Fty_Ftu: 1, Dw: 0.55, Fty_E_eu_0: 1, Fty_E_eu_1: 1, Fty_E_eu_2: 0.96, Fty_E_eu_4: 0.8, Fty_E_eu_6: 0.66, Fty_E_eu_8: 0.53, Fty_E_eu_10: 0.43}, {Fty_Ftu: 1, Dw: 0.6, Fty_E_eu_0: 1, Fty_E_eu_1: 1, Fty_E_eu_2: 0.96, Fty_E_eu_4: 0.83, Fty_E_eu_6: 0.69, Fty_E_eu_8: 0.56, Fty_E_eu_10: 0.46}, {Fty_Ftu: 1, Dw: 0.65, Fty_E_eu_0: 1, Fty_E_eu_1: 1, Fty_E_eu_2: 0.96, Fty_E_eu_4: 0.87, Fty_E_eu_6: 0.73, Fty_E_eu_8: 0.6, Fty_E_eu_10: 0.5}, {Fty_Ftu: 1, Dw: 0.7, Fty_E_eu_0: 1, Fty_E_eu_1: 1, Fty_E_eu_2: 0.97, Fty_E_eu_4: 0.9, Fty_E_eu_6: 0.78, Fty_E_eu_8: 0.64, Fty_E_eu_10: 0.53}, {Fty_Ftu: 1, Dw: 0.75, Fty_E_eu_0: 1, Fty_E_eu_1: 1, Fty_E_eu_2: 0.99, Fty_E_eu_4: 0.93, Fty_E_eu_6: 0.84, Fty_E_eu_8: 0.7, Fty_E_eu_10: 0.57}, {Fty_Ftu: 1, Dw: 0.8, Fty_E_eu_0: 1, Fty_E_eu_1: 1, Fty_E_eu_2: 1, Fty_E_eu_4: 0.97, Fty_E_eu_6: 0.91, Fty_E_eu_8: 0.76, Fty_E_eu_10: 0.63}, {Fty_Ftu: 1, Dw: 0.85, Fty_E_eu_0: 1, Fty_E_eu_1: 1, Fty_E_eu_2: 0.99, Fty_E_eu_4: 0.99, Fty_E_eu_6: 0.94, Fty_E_eu_8: 0.81, Fty_E_eu_10: 0.69}, {Fty_Ftu: 1, Dw: 0.9, Fty_E_eu_0: 1, Fty_E_eu_1: 1, Fty_E_eu_2: 1, Fty_E_eu_4: 1, Fty_E_eu_6: 0.97, Fty_E_eu_8: 0.86, Fty_E_eu_10: 0.78}, {Fty_Ftu: 1, Dw: 0.95, Fty_E_eu_0: 1, Fty_E_eu_1: 1, Fty_E_eu_2: 1, Fty_E_eu_4: 1, Fty_E_eu_6: 0.99, Fty_E_eu_8: 0.92, Fty_E_eu_10: 0.87}, {Fty_Ftu: 1, Dw: 1, Fty_E_eu_0: 1, Fty_E_eu_1: 1, Fty_E_eu_2: 1, Fty_E_eu_4: 1, Fty_E_eu_6: 1, Fty_E_eu_8: 1, Fty_E_eu_10: 1} ]</v>
      </c>
    </row>
  </sheetData>
  <phoneticPr fontId="1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Seames</dc:creator>
  <cp:lastModifiedBy>Brad Seames</cp:lastModifiedBy>
  <dcterms:created xsi:type="dcterms:W3CDTF">2025-10-20T02:15:50Z</dcterms:created>
  <dcterms:modified xsi:type="dcterms:W3CDTF">2025-10-27T21:15:00Z</dcterms:modified>
</cp:coreProperties>
</file>